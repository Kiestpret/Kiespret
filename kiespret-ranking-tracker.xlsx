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s" sheetId="1" state="visible" r:id="rId3"/>
    <sheet name="AI Citaties" sheetId="2" state="visible" r:id="rId4"/>
    <sheet name="Samenvatting" sheetId="3" state="visible" r:id="rId5"/>
    <sheet name="Hoe bijwerken" sheetId="4" state="visible" r:id="rId6"/>
  </sheets>
  <definedNames>
    <definedName function="false" hidden="true" localSheetId="0" name="_xlnm._FilterDatabase" vbProcedure="false">Rankings!$A$4:$I$73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<sst xmlns="http://schemas.openxmlformats.org/spreadsheetml/2006/main" count="436" uniqueCount="153">
  <si>
    <t xml:space="preserve">Kiespret.nl — GSC Ranking Tracker</t>
  </si>
  <si>
    <t xml:space="preserve">Voeg nieuwe kolommen toe rechts van de laatste meting. Groen = top 10, geel = top 20, roze = 50+.</t>
  </si>
  <si>
    <t xml:space="preserve">28 jun 2026</t>
  </si>
  <si>
    <t xml:space="preserve">Pagina</t>
  </si>
  <si>
    <t xml:space="preserve">Cluster</t>
  </si>
  <si>
    <t xml:space="preserve">Type</t>
  </si>
  <si>
    <t xml:space="preserve">Prioriteit</t>
  </si>
  <si>
    <t xml:space="preserve">Positie</t>
  </si>
  <si>
    <t xml:space="preserve">Klikken</t>
  </si>
  <si>
    <t xml:space="preserve">Vertoningen</t>
  </si>
  <si>
    <t xml:space="preserve">CTR</t>
  </si>
  <si>
    <t xml:space="preserve">Notities</t>
  </si>
  <si>
    <t xml:space="preserve">/privacybeleid/</t>
  </si>
  <si>
    <t xml:space="preserve">Overig</t>
  </si>
  <si>
    <t xml:space="preserve">Gids</t>
  </si>
  <si>
    <t xml:space="preserve">Midden</t>
  </si>
  <si>
    <t xml:space="preserve">0%</t>
  </si>
  <si>
    <t xml:space="preserve">/voorwaarden/</t>
  </si>
  <si>
    <t xml:space="preserve">/gids/albanie-of-griekenland/</t>
  </si>
  <si>
    <t xml:space="preserve">Albanie</t>
  </si>
  <si>
    <t xml:space="preserve">Vergelijking</t>
  </si>
  <si>
    <t xml:space="preserve">Behouden</t>
  </si>
  <si>
    <t xml:space="preserve">4.76%</t>
  </si>
  <si>
    <t xml:space="preserve">/gids/kroatie/</t>
  </si>
  <si>
    <t xml:space="preserve">Kroatie</t>
  </si>
  <si>
    <t xml:space="preserve">Hub</t>
  </si>
  <si>
    <t xml:space="preserve">/gids/albanie-of-montenegro/</t>
  </si>
  <si>
    <t xml:space="preserve">2.93%</t>
  </si>
  <si>
    <t xml:space="preserve">/gids/turkije/side-of-alanya/</t>
  </si>
  <si>
    <t xml:space="preserve">Turkije</t>
  </si>
  <si>
    <t xml:space="preserve">/gids/adults-only-griekenland/</t>
  </si>
  <si>
    <t xml:space="preserve">Thema</t>
  </si>
  <si>
    <t xml:space="preserve">16.67%</t>
  </si>
  <si>
    <t xml:space="preserve">/gids/kroatie-of-italie/</t>
  </si>
  <si>
    <t xml:space="preserve">1.03%</t>
  </si>
  <si>
    <t xml:space="preserve">/gids/kroatie/split-of-zadar/</t>
  </si>
  <si>
    <t xml:space="preserve">3.17%</t>
  </si>
  <si>
    <t xml:space="preserve">/gids/kroatie-of-montenegro/</t>
  </si>
  <si>
    <t xml:space="preserve">/gids/turkije-of-griekenland/</t>
  </si>
  <si>
    <t xml:space="preserve">Griekenland</t>
  </si>
  <si>
    <t xml:space="preserve">0.52%</t>
  </si>
  <si>
    <t xml:space="preserve">/gids/kroatie-of-griekenland/</t>
  </si>
  <si>
    <t xml:space="preserve">/gids/turkije-of-egypte/</t>
  </si>
  <si>
    <t xml:space="preserve">0.45%</t>
  </si>
  <si>
    <t xml:space="preserve">/gids/dubrovnik-of-split/</t>
  </si>
  <si>
    <t xml:space="preserve">/gids/griekenland/rhodos-of-zakynthos/</t>
  </si>
  <si>
    <t xml:space="preserve">5.04%</t>
  </si>
  <si>
    <t xml:space="preserve">/gids/griekenland/kos-of-kreta/</t>
  </si>
  <si>
    <t xml:space="preserve">0.97%</t>
  </si>
  <si>
    <t xml:space="preserve">/gids/turkije/bodrum-of-antalya/</t>
  </si>
  <si>
    <t xml:space="preserve">2.27%</t>
  </si>
  <si>
    <t xml:space="preserve">/gids/albanie/kosten/</t>
  </si>
  <si>
    <t xml:space="preserve">0.25%</t>
  </si>
  <si>
    <t xml:space="preserve">/gids/methodologie/</t>
  </si>
  <si>
    <t xml:space="preserve">/gids/eilanden/</t>
  </si>
  <si>
    <t xml:space="preserve">Eilanden</t>
  </si>
  <si>
    <t xml:space="preserve">/gids/kroatie-of-spanje/</t>
  </si>
  <si>
    <t xml:space="preserve">1.54%</t>
  </si>
  <si>
    <t xml:space="preserve">/gids/albanie/</t>
  </si>
  <si>
    <t xml:space="preserve">/gids/eilanden/malta-of-cyprus/</t>
  </si>
  <si>
    <t xml:space="preserve">1.3%</t>
  </si>
  <si>
    <t xml:space="preserve">/gids/kroatie/istrie-of-dalmatie/</t>
  </si>
  <si>
    <t xml:space="preserve">/gids/griekenland/corfu-of-zakynthos/</t>
  </si>
  <si>
    <t xml:space="preserve">1.05%</t>
  </si>
  <si>
    <t xml:space="preserve">/gids/kroatie/kosten/</t>
  </si>
  <si>
    <t xml:space="preserve">/gids/griekenland/kos-of-rhodos/</t>
  </si>
  <si>
    <t xml:space="preserve">0.79%</t>
  </si>
  <si>
    <t xml:space="preserve">/gids/albanie-of-kroatie/</t>
  </si>
  <si>
    <t xml:space="preserve">/gids/griekenland/rustige-eilanden/</t>
  </si>
  <si>
    <t xml:space="preserve">/gids/griekenland/kreta-of-rhodos/</t>
  </si>
  <si>
    <t xml:space="preserve">0.86%</t>
  </si>
  <si>
    <t xml:space="preserve">/gids/eilanden/ibiza-of-mallorca/</t>
  </si>
  <si>
    <t xml:space="preserve">/gids/eilanden/lanzarote-of-fuerteventura/</t>
  </si>
  <si>
    <t xml:space="preserve">/gids/griekenland/romantisch-grieks-eiland/</t>
  </si>
  <si>
    <t xml:space="preserve">0.98%</t>
  </si>
  <si>
    <t xml:space="preserve">/gids/kroatie/eilanden/</t>
  </si>
  <si>
    <t xml:space="preserve">/gids/turkije/antalya-of-side/</t>
  </si>
  <si>
    <t xml:space="preserve">3.85%</t>
  </si>
  <si>
    <t xml:space="preserve">/gids/eilanden/cyprus-of-kreta/</t>
  </si>
  <si>
    <t xml:space="preserve">1.41%</t>
  </si>
  <si>
    <t xml:space="preserve">/gids/eilanden/tenerife-of-gran-canaria/</t>
  </si>
  <si>
    <t xml:space="preserve">/gids/turkije/</t>
  </si>
  <si>
    <t xml:space="preserve">/gids/turkije/beste-reistijd/</t>
  </si>
  <si>
    <t xml:space="preserve">/gids/turkije/turkse-riviera/</t>
  </si>
  <si>
    <t xml:space="preserve">/gids/adults-only-spanje/</t>
  </si>
  <si>
    <t xml:space="preserve">/gids/herfstvakantie-zon/</t>
  </si>
  <si>
    <t xml:space="preserve">Seizoen</t>
  </si>
  <si>
    <t xml:space="preserve">/gids/kroatie/beste-reistijd/</t>
  </si>
  <si>
    <t xml:space="preserve">/gids/albanie/albanese-riviera/</t>
  </si>
  <si>
    <t xml:space="preserve">/gids/albanie/veiligheid/</t>
  </si>
  <si>
    <t xml:space="preserve">/gids/turkije/all-inclusive/</t>
  </si>
  <si>
    <t xml:space="preserve">/gids/welke-vakantie-past-bij-mij/</t>
  </si>
  <si>
    <t xml:space="preserve">Planning</t>
  </si>
  <si>
    <t xml:space="preserve">2.04%</t>
  </si>
  <si>
    <t xml:space="preserve">/</t>
  </si>
  <si>
    <t xml:space="preserve">/gids/albanie/saranda-of-ksamil/</t>
  </si>
  <si>
    <t xml:space="preserve">Hoog</t>
  </si>
  <si>
    <t xml:space="preserve">1.39%</t>
  </si>
  <si>
    <t xml:space="preserve">/gids/albanie/beste-reistijd/</t>
  </si>
  <si>
    <t xml:space="preserve">/gids/turkije/strandvakantie/</t>
  </si>
  <si>
    <t xml:space="preserve">50%</t>
  </si>
  <si>
    <t xml:space="preserve">/gids/eilanden/sicilie-of-sardinie/</t>
  </si>
  <si>
    <t xml:space="preserve">/gids/eilanden/mallorca-of-menorca/</t>
  </si>
  <si>
    <t xml:space="preserve">/gids/kroatie/strandvakantie/</t>
  </si>
  <si>
    <t xml:space="preserve">/gids/vakantie-zonder-kinderen/</t>
  </si>
  <si>
    <t xml:space="preserve">/gids/winterzon-canarische-eilanden/</t>
  </si>
  <si>
    <t xml:space="preserve">/gids/romantische-vakantie-europa/</t>
  </si>
  <si>
    <t xml:space="preserve">1.06%</t>
  </si>
  <si>
    <t xml:space="preserve">/gids/griekenland/</t>
  </si>
  <si>
    <t xml:space="preserve">/gids/albanie/strandvakantie/</t>
  </si>
  <si>
    <t xml:space="preserve">Laag</t>
  </si>
  <si>
    <t xml:space="preserve">7.69%</t>
  </si>
  <si>
    <t xml:space="preserve">/gids/zonvakantie-juli/</t>
  </si>
  <si>
    <t xml:space="preserve">1.92%</t>
  </si>
  <si>
    <t xml:space="preserve">/gids/vakantie-twee-personen/</t>
  </si>
  <si>
    <t xml:space="preserve">0.44%</t>
  </si>
  <si>
    <t xml:space="preserve">/gids/montenegro/kotor-of-budva/</t>
  </si>
  <si>
    <t xml:space="preserve">Montenegro</t>
  </si>
  <si>
    <t xml:space="preserve">/gids/</t>
  </si>
  <si>
    <t xml:space="preserve">/gids/eilanden/canarische-eilanden-vergelijken/</t>
  </si>
  <si>
    <t xml:space="preserve">/gids/zonvakantie-mei/</t>
  </si>
  <si>
    <t xml:space="preserve">/gids/adults-only/</t>
  </si>
  <si>
    <t xml:space="preserve">/gids/zonvakantie-september/</t>
  </si>
  <si>
    <t xml:space="preserve">/gids/zonvakantie-juni/</t>
  </si>
  <si>
    <t xml:space="preserve">/start/</t>
  </si>
  <si>
    <t xml:space="preserve">Kiespret.nl — AI Citaties (Bing/Copilot)</t>
  </si>
  <si>
    <t xml:space="preserve">Datum</t>
  </si>
  <si>
    <t xml:space="preserve">Citaties</t>
  </si>
  <si>
    <t xml:space="preserve">Geciteerde paginas</t>
  </si>
  <si>
    <t xml:space="preserve">Week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</si>
  <si>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</si>
  <si>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</si>
  <si>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</si>
  <si>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</si>
  <si>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</si>
  <si>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</si>
  <si>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</si>
  <si>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Totaal</t>
  </si>
  <si>
    <t xml:space="preserve">Gem./dag (laatste 14d)</t>
  </si>
  <si>
    <t xml:space="preserve">Samenvatting per cluster</t>
  </si>
  <si>
    <t xml:space="preserve">Pagina's</t>
  </si>
  <si>
    <t xml:space="preserve">Gem. positie</t>
  </si>
  <si>
    <t xml:space="preserve">Totaal klikken</t>
  </si>
  <si>
    <t xml:space="preserve">Totaal vertoningen</t>
  </si>
  <si>
    <t xml:space="preserve">Hoe gebruik je deze tracker?</t>
  </si>
  <si>
    <t xml:space="preserve">1. Nieuwe GSC meting</t>
  </si>
  <si>
    <t xml:space="preserve">Ga naar GSC &gt; Prestaties &gt; Paginas. Exporteer als CSV. Voeg 4 kolommen toe rechts in het Rankings-tabblad (Positie, Klikken, Vertoningen, CTR) met de datum in rij 3.</t>
  </si>
  <si>
    <t xml:space="preserve">2. AI citaties bijwerken</t>
  </si>
  <si>
    <t xml:space="preserve">Voeg nieuwe rijen toe onderaan het AI Citaties-tabblad. Update de chart-range als nodig.</t>
  </si>
  <si>
    <t xml:space="preserve">3. Kleurcodes</t>
  </si>
  <si>
    <t xml:space="preserve">Groen = top 10 (goed!), Geel = top 20 (bijna), Roze = 50+ (nog ver weg). Prioriteit Hoog (rood) = veel vertoningen maar slechte positie.</t>
  </si>
  <si>
    <t xml:space="preserve">4. Frequentie</t>
  </si>
  <si>
    <t xml:space="preserve">Elke 2-4 weken GSC data toevoegen. AI citaties kun je wekelijks of maandelijks bijwerken.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</si>
</sst>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dd\-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F72"/>
      <name val="Arial"/>
      <family val="0"/>
      <charset val="1"/>
    </font>
    <font>
      <i val="true"/>
      <sz val="9"/>
      <color rgb="FF5D6D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8080"/>
      </patternFill>
    </fill>
    <fill>
      <patternFill patternType="solid">
        <fgColor rgb="FF1B4F72"/>
        <bgColor rgb="FF333399"/>
      </patternFill>
    </fill>
    <fill>
      <patternFill patternType="solid">
        <fgColor rgb="FFD5F5E3"/>
        <bgColor rgb="FFCCFFFF"/>
      </patternFill>
    </fill>
    <fill>
      <patternFill patternType="solid">
        <fgColor rgb="FFFEF9E7"/>
        <bgColor rgb="FFFFFFFF"/>
      </patternFill>
    </fill>
    <fill>
      <patternFill patternType="solid">
        <fgColor rgb="FFFADBD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4F7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EF9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E7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FF9900"/>
      <rgbColor rgb="FFFF6600"/>
      <rgbColor rgb="FF5D6D7E"/>
      <rgbColor rgb="FF969696"/>
      <rgbColor rgb="FF1B4F72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 Citaties per dag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'AI Citaties'!B3</c:f>
              <c:strCache>
                <c:ptCount val="1"/>
                <c:pt idx="0">
                  <c:v>Citaties</c:v>
                </c:pt>
              </c:strCache>
            </c:strRef>
          </c:tx>
          <c:spPr>
            <a:solidFill>
              <a:srgbClr val="2E86C1"/>
            </a:solidFill>
            <a:ln w="24840">
              <a:solidFill>
                <a:srgbClr val="2E86C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'AI Citaties'!$A$4:$A$50</c:f>
              <c:strCache>
                <c:ptCount val="47"/>
                <c:pt idx="0">
                  <c:v>11-05-2026</c:v>
                </c:pt>
                <c:pt idx="1">
                  <c:v>12-05-2026</c:v>
                </c:pt>
                <c:pt idx="2">
                  <c:v>13-05-2026</c:v>
                </c:pt>
                <c:pt idx="3">
                  <c:v>14-05-2026</c:v>
                </c:pt>
                <c:pt idx="4">
                  <c:v>15-05-2026</c:v>
                </c:pt>
                <c:pt idx="5">
                  <c:v>16-05-2026</c:v>
                </c:pt>
                <c:pt idx="6">
                  <c:v>17-05-2026</c:v>
                </c:pt>
                <c:pt idx="7">
                  <c:v>18-05-2026</c:v>
                </c:pt>
                <c:pt idx="8">
                  <c:v>19-05-2026</c:v>
                </c:pt>
                <c:pt idx="9">
                  <c:v>20-05-2026</c:v>
                </c:pt>
                <c:pt idx="10">
                  <c:v>21-05-2026</c:v>
                </c:pt>
                <c:pt idx="11">
                  <c:v>22-05-2026</c:v>
                </c:pt>
                <c:pt idx="12">
                  <c:v>23-05-2026</c:v>
                </c:pt>
                <c:pt idx="13">
                  <c:v>24-05-2026</c:v>
                </c:pt>
                <c:pt idx="14">
                  <c:v>25-05-2026</c:v>
                </c:pt>
                <c:pt idx="15">
                  <c:v>26-05-2026</c:v>
                </c:pt>
                <c:pt idx="16">
                  <c:v>27-05-2026</c:v>
                </c:pt>
                <c:pt idx="17">
                  <c:v>28-05-2026</c:v>
                </c:pt>
                <c:pt idx="18">
                  <c:v>29-05-2026</c:v>
                </c:pt>
                <c:pt idx="19">
                  <c:v>30-05-2026</c:v>
                </c:pt>
                <c:pt idx="20">
                  <c:v>31-05-2026</c:v>
                </c:pt>
                <c:pt idx="21">
                  <c:v>01-06-2026</c:v>
                </c:pt>
                <c:pt idx="22">
                  <c:v>02-06-2026</c:v>
                </c:pt>
                <c:pt idx="23">
                  <c:v>03-06-2026</c:v>
                </c:pt>
                <c:pt idx="24">
                  <c:v>04-06-2026</c:v>
                </c:pt>
                <c:pt idx="25">
                  <c:v>05-06-2026</c:v>
                </c:pt>
                <c:pt idx="26">
                  <c:v>06-06-2026</c:v>
                </c:pt>
                <c:pt idx="27">
                  <c:v>07-06-2026</c:v>
                </c:pt>
                <c:pt idx="28">
                  <c:v>08-06-2026</c:v>
                </c:pt>
                <c:pt idx="29">
                  <c:v>09-06-2026</c:v>
                </c:pt>
                <c:pt idx="30">
                  <c:v>10-06-2026</c:v>
                </c:pt>
                <c:pt idx="31">
                  <c:v>11-06-2026</c:v>
                </c:pt>
                <c:pt idx="32">
                  <c:v>12-06-2026</c:v>
                </c:pt>
                <c:pt idx="33">
                  <c:v>13-06-2026</c:v>
                </c:pt>
                <c:pt idx="34">
                  <c:v>14-06-2026</c:v>
                </c:pt>
                <c:pt idx="35">
                  <c:v>15-06-2026</c:v>
                </c:pt>
                <c:pt idx="36">
                  <c:v>16-06-2026</c:v>
                </c:pt>
                <c:pt idx="37">
                  <c:v>17-06-2026</c:v>
                </c:pt>
                <c:pt idx="38">
                  <c:v>18-06-2026</c:v>
                </c:pt>
                <c:pt idx="39">
                  <c:v>19-06-2026</c:v>
                </c:pt>
                <c:pt idx="40">
                  <c:v>20-06-2026</c:v>
                </c:pt>
                <c:pt idx="41">
                  <c:v>21-06-2026</c:v>
                </c:pt>
                <c:pt idx="42">
                  <c:v>22-06-2026</c:v>
                </c:pt>
                <c:pt idx="43">
                  <c:v>23-06-2026</c:v>
                </c:pt>
                <c:pt idx="44">
                  <c:v>24-06-2026</c:v>
                </c:pt>
                <c:pt idx="45">
                  <c:v>25-06-2026</c:v>
                </c:pt>
                <c:pt idx="46">
                  <c:v>26-06-2026</c:v>
                </c:pt>
              </c:strCache>
            </c:strRef>
          </c:cat>
          <c:val>
            <c:numRef>
              <c:f>'AI Citaties'!$B$4:$B$50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7</c:v>
                </c:pt>
                <c:pt idx="16">
                  <c:v>6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8</c:v>
                </c:pt>
                <c:pt idx="22">
                  <c:v>1</c:v>
                </c:pt>
                <c:pt idx="23">
                  <c:v>6</c:v>
                </c:pt>
                <c:pt idx="24">
                  <c:v>6</c:v>
                </c:pt>
                <c:pt idx="25">
                  <c:v>2</c:v>
                </c:pt>
                <c:pt idx="26">
                  <c:v>18</c:v>
                </c:pt>
                <c:pt idx="27">
                  <c:v>4</c:v>
                </c:pt>
                <c:pt idx="28">
                  <c:v>0</c:v>
                </c:pt>
                <c:pt idx="29">
                  <c:v>10</c:v>
                </c:pt>
                <c:pt idx="30">
                  <c:v>12</c:v>
                </c:pt>
                <c:pt idx="31">
                  <c:v>15</c:v>
                </c:pt>
                <c:pt idx="32">
                  <c:v>14</c:v>
                </c:pt>
                <c:pt idx="33">
                  <c:v>7</c:v>
                </c:pt>
                <c:pt idx="34">
                  <c:v>14</c:v>
                </c:pt>
                <c:pt idx="35">
                  <c:v>6</c:v>
                </c:pt>
                <c:pt idx="36">
                  <c:v>10</c:v>
                </c:pt>
                <c:pt idx="37">
                  <c:v>20</c:v>
                </c:pt>
                <c:pt idx="38">
                  <c:v>13</c:v>
                </c:pt>
                <c:pt idx="39">
                  <c:v>11</c:v>
                </c:pt>
                <c:pt idx="40">
                  <c:v>7</c:v>
                </c:pt>
                <c:pt idx="41">
                  <c:v>37</c:v>
                </c:pt>
                <c:pt idx="42">
                  <c:v>31</c:v>
                </c:pt>
                <c:pt idx="43">
                  <c:v>18</c:v>
                </c:pt>
                <c:pt idx="44">
                  <c:v>25</c:v>
                </c:pt>
                <c:pt idx="45">
                  <c:v>16</c:v>
                </c:pt>
                <c:pt idx="46">
                  <c:v>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888166"/>
        <c:axId val="93965138"/>
      </c:lineChart>
      <c:catAx>
        <c:axId val="638881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Datum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965138"/>
        <c:crosses val="autoZero"/>
        <c:auto val="1"/>
        <c:lblAlgn val="ctr"/>
        <c:lblOffset val="100"/>
        <c:noMultiLvlLbl val="0"/>
      </c:catAx>
      <c:valAx>
        <c:axId val="93965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Citaties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8881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55</xdr:row>
      <xdr:rowOff>0</xdr:rowOff>
    </xdr:from>
    <xdr:to>
      <xdr:col>13</xdr:col>
      <xdr:colOff>65160</xdr:colOff>
      <xdr:row>81</xdr:row>
      <xdr:rowOff>86400</xdr:rowOff>
    </xdr:to>
    <xdr:graphicFrame>
      <xdr:nvGraphicFramePr>
        <xdr:cNvPr id="1" name="Chart 1"/>
        <xdr:cNvGraphicFramePr/>
      </xdr:nvGraphicFramePr>
      <xdr:xfrm>
        <a:off x="0" y="1066788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E3" s="3" t="s">
        <v>2</v>
      </c>
      <c r="F3" s="3"/>
      <c r="G3" s="3"/>
      <c r="H3" s="3"/>
    </row>
    <row r="4" customFormat="false" ht="24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15" hidden="false" customHeight="false" outlineLevel="0" collapsed="false">
      <c r="A5" s="5" t="s">
        <v>12</v>
      </c>
      <c r="B5" s="6" t="s">
        <v>13</v>
      </c>
      <c r="C5" s="6" t="s">
        <v>14</v>
      </c>
      <c r="D5" s="7" t="s">
        <v>15</v>
      </c>
      <c r="E5" s="8" t="n">
        <v>3</v>
      </c>
      <c r="F5" s="6" t="n">
        <v>0</v>
      </c>
      <c r="G5" s="6" t="n">
        <v>1</v>
      </c>
      <c r="H5" s="6" t="s">
        <v>16</v>
      </c>
      <c r="I5" s="6"/>
    </row>
    <row r="6" customFormat="false" ht="15" hidden="false" customHeight="false" outlineLevel="0" collapsed="false">
      <c r="A6" s="5" t="s">
        <v>17</v>
      </c>
      <c r="B6" s="6" t="s">
        <v>13</v>
      </c>
      <c r="C6" s="6" t="s">
        <v>14</v>
      </c>
      <c r="D6" s="7" t="s">
        <v>15</v>
      </c>
      <c r="E6" s="8" t="n">
        <v>3</v>
      </c>
      <c r="F6" s="6" t="n">
        <v>0</v>
      </c>
      <c r="G6" s="6" t="n">
        <v>1</v>
      </c>
      <c r="H6" s="6" t="s">
        <v>16</v>
      </c>
      <c r="I6" s="6"/>
    </row>
    <row r="7" customFormat="false" ht="15" hidden="false" customHeight="false" outlineLevel="0" collapsed="false">
      <c r="A7" s="5" t="s">
        <v>18</v>
      </c>
      <c r="B7" s="6" t="s">
        <v>19</v>
      </c>
      <c r="C7" s="6" t="s">
        <v>20</v>
      </c>
      <c r="D7" s="9" t="s">
        <v>21</v>
      </c>
      <c r="E7" s="8" t="n">
        <v>4.13</v>
      </c>
      <c r="F7" s="6" t="n">
        <v>12</v>
      </c>
      <c r="G7" s="6" t="n">
        <v>252</v>
      </c>
      <c r="H7" s="6" t="s">
        <v>22</v>
      </c>
      <c r="I7" s="6"/>
    </row>
    <row r="8" customFormat="false" ht="15" hidden="false" customHeight="false" outlineLevel="0" collapsed="false">
      <c r="A8" s="5" t="s">
        <v>23</v>
      </c>
      <c r="B8" s="6" t="s">
        <v>24</v>
      </c>
      <c r="C8" s="6" t="s">
        <v>25</v>
      </c>
      <c r="D8" s="7" t="s">
        <v>15</v>
      </c>
      <c r="E8" s="8" t="n">
        <v>4.33</v>
      </c>
      <c r="F8" s="6" t="n">
        <v>0</v>
      </c>
      <c r="G8" s="6" t="n">
        <v>9</v>
      </c>
      <c r="H8" s="6" t="s">
        <v>16</v>
      </c>
      <c r="I8" s="6"/>
    </row>
    <row r="9" customFormat="false" ht="15" hidden="false" customHeight="false" outlineLevel="0" collapsed="false">
      <c r="A9" s="5" t="s">
        <v>26</v>
      </c>
      <c r="B9" s="6" t="s">
        <v>19</v>
      </c>
      <c r="C9" s="6" t="s">
        <v>20</v>
      </c>
      <c r="D9" s="9" t="s">
        <v>21</v>
      </c>
      <c r="E9" s="8" t="n">
        <v>4.86</v>
      </c>
      <c r="F9" s="6" t="n">
        <v>7</v>
      </c>
      <c r="G9" s="6" t="n">
        <v>239</v>
      </c>
      <c r="H9" s="6" t="s">
        <v>27</v>
      </c>
      <c r="I9" s="6"/>
    </row>
    <row r="10" customFormat="false" ht="15" hidden="false" customHeight="false" outlineLevel="0" collapsed="false">
      <c r="A10" s="5" t="s">
        <v>28</v>
      </c>
      <c r="B10" s="6" t="s">
        <v>29</v>
      </c>
      <c r="C10" s="6" t="s">
        <v>20</v>
      </c>
      <c r="D10" s="9" t="s">
        <v>21</v>
      </c>
      <c r="E10" s="8" t="n">
        <v>5.05</v>
      </c>
      <c r="F10" s="6" t="n">
        <v>0</v>
      </c>
      <c r="G10" s="6" t="n">
        <v>63</v>
      </c>
      <c r="H10" s="6" t="s">
        <v>16</v>
      </c>
      <c r="I10" s="6"/>
    </row>
    <row r="11" customFormat="false" ht="15" hidden="false" customHeight="false" outlineLevel="0" collapsed="false">
      <c r="A11" s="5" t="s">
        <v>30</v>
      </c>
      <c r="B11" s="6" t="s">
        <v>31</v>
      </c>
      <c r="C11" s="6" t="s">
        <v>14</v>
      </c>
      <c r="D11" s="7" t="s">
        <v>15</v>
      </c>
      <c r="E11" s="8" t="n">
        <v>5.17</v>
      </c>
      <c r="F11" s="6" t="n">
        <v>1</v>
      </c>
      <c r="G11" s="6" t="n">
        <v>6</v>
      </c>
      <c r="H11" s="6" t="s">
        <v>32</v>
      </c>
      <c r="I11" s="6"/>
    </row>
    <row r="12" customFormat="false" ht="15" hidden="false" customHeight="false" outlineLevel="0" collapsed="false">
      <c r="A12" s="5" t="s">
        <v>33</v>
      </c>
      <c r="B12" s="6" t="s">
        <v>24</v>
      </c>
      <c r="C12" s="6" t="s">
        <v>20</v>
      </c>
      <c r="D12" s="9" t="s">
        <v>21</v>
      </c>
      <c r="E12" s="8" t="n">
        <v>5.4</v>
      </c>
      <c r="F12" s="6" t="n">
        <v>1</v>
      </c>
      <c r="G12" s="6" t="n">
        <v>97</v>
      </c>
      <c r="H12" s="6" t="s">
        <v>34</v>
      </c>
      <c r="I12" s="6"/>
    </row>
    <row r="13" customFormat="false" ht="15" hidden="false" customHeight="false" outlineLevel="0" collapsed="false">
      <c r="A13" s="5" t="s">
        <v>35</v>
      </c>
      <c r="B13" s="6" t="s">
        <v>24</v>
      </c>
      <c r="C13" s="6" t="s">
        <v>20</v>
      </c>
      <c r="D13" s="9" t="s">
        <v>21</v>
      </c>
      <c r="E13" s="8" t="n">
        <v>5.56</v>
      </c>
      <c r="F13" s="6" t="n">
        <v>2</v>
      </c>
      <c r="G13" s="6" t="n">
        <v>63</v>
      </c>
      <c r="H13" s="6" t="s">
        <v>36</v>
      </c>
      <c r="I13" s="6"/>
    </row>
    <row r="14" customFormat="false" ht="15" hidden="false" customHeight="false" outlineLevel="0" collapsed="false">
      <c r="A14" s="5" t="s">
        <v>37</v>
      </c>
      <c r="B14" s="6" t="s">
        <v>24</v>
      </c>
      <c r="C14" s="6" t="s">
        <v>20</v>
      </c>
      <c r="D14" s="7" t="s">
        <v>15</v>
      </c>
      <c r="E14" s="8" t="n">
        <v>5.62</v>
      </c>
      <c r="F14" s="6" t="n">
        <v>0</v>
      </c>
      <c r="G14" s="6" t="n">
        <v>16</v>
      </c>
      <c r="H14" s="6" t="s">
        <v>16</v>
      </c>
      <c r="I14" s="6"/>
    </row>
    <row r="15" customFormat="false" ht="15" hidden="false" customHeight="false" outlineLevel="0" collapsed="false">
      <c r="A15" s="5" t="s">
        <v>38</v>
      </c>
      <c r="B15" s="6" t="s">
        <v>39</v>
      </c>
      <c r="C15" s="6" t="s">
        <v>20</v>
      </c>
      <c r="D15" s="9" t="s">
        <v>21</v>
      </c>
      <c r="E15" s="8" t="n">
        <v>5.96</v>
      </c>
      <c r="F15" s="6" t="n">
        <v>3</v>
      </c>
      <c r="G15" s="6" t="n">
        <v>577</v>
      </c>
      <c r="H15" s="6" t="s">
        <v>40</v>
      </c>
      <c r="I15" s="6"/>
    </row>
    <row r="16" customFormat="false" ht="15" hidden="false" customHeight="false" outlineLevel="0" collapsed="false">
      <c r="A16" s="5" t="s">
        <v>41</v>
      </c>
      <c r="B16" s="6" t="s">
        <v>39</v>
      </c>
      <c r="C16" s="6" t="s">
        <v>20</v>
      </c>
      <c r="D16" s="7" t="s">
        <v>15</v>
      </c>
      <c r="E16" s="8" t="n">
        <v>6.12</v>
      </c>
      <c r="F16" s="6" t="n">
        <v>0</v>
      </c>
      <c r="G16" s="6" t="n">
        <v>43</v>
      </c>
      <c r="H16" s="6" t="s">
        <v>16</v>
      </c>
      <c r="I16" s="6"/>
    </row>
    <row r="17" customFormat="false" ht="15" hidden="false" customHeight="false" outlineLevel="0" collapsed="false">
      <c r="A17" s="5" t="s">
        <v>42</v>
      </c>
      <c r="B17" s="6" t="s">
        <v>29</v>
      </c>
      <c r="C17" s="6" t="s">
        <v>20</v>
      </c>
      <c r="D17" s="9" t="s">
        <v>21</v>
      </c>
      <c r="E17" s="8" t="n">
        <v>6.14</v>
      </c>
      <c r="F17" s="6" t="n">
        <v>3</v>
      </c>
      <c r="G17" s="6" t="n">
        <v>667</v>
      </c>
      <c r="H17" s="6" t="s">
        <v>43</v>
      </c>
      <c r="I17" s="6"/>
    </row>
    <row r="18" customFormat="false" ht="15" hidden="false" customHeight="false" outlineLevel="0" collapsed="false">
      <c r="A18" s="5" t="s">
        <v>44</v>
      </c>
      <c r="B18" s="6" t="s">
        <v>24</v>
      </c>
      <c r="C18" s="6" t="s">
        <v>20</v>
      </c>
      <c r="D18" s="7" t="s">
        <v>15</v>
      </c>
      <c r="E18" s="8" t="n">
        <v>6.18</v>
      </c>
      <c r="F18" s="6" t="n">
        <v>0</v>
      </c>
      <c r="G18" s="6" t="n">
        <v>39</v>
      </c>
      <c r="H18" s="6" t="s">
        <v>16</v>
      </c>
      <c r="I18" s="6"/>
    </row>
    <row r="19" customFormat="false" ht="15" hidden="false" customHeight="false" outlineLevel="0" collapsed="false">
      <c r="A19" s="5" t="s">
        <v>45</v>
      </c>
      <c r="B19" s="6" t="s">
        <v>39</v>
      </c>
      <c r="C19" s="6" t="s">
        <v>20</v>
      </c>
      <c r="D19" s="9" t="s">
        <v>21</v>
      </c>
      <c r="E19" s="8" t="n">
        <v>6.49</v>
      </c>
      <c r="F19" s="6" t="n">
        <v>7</v>
      </c>
      <c r="G19" s="6" t="n">
        <v>139</v>
      </c>
      <c r="H19" s="6" t="s">
        <v>46</v>
      </c>
      <c r="I19" s="6"/>
    </row>
    <row r="20" customFormat="false" ht="15" hidden="false" customHeight="false" outlineLevel="0" collapsed="false">
      <c r="A20" s="5" t="s">
        <v>47</v>
      </c>
      <c r="B20" s="6" t="s">
        <v>39</v>
      </c>
      <c r="C20" s="6" t="s">
        <v>20</v>
      </c>
      <c r="D20" s="9" t="s">
        <v>21</v>
      </c>
      <c r="E20" s="8" t="n">
        <v>6.52</v>
      </c>
      <c r="F20" s="6" t="n">
        <v>4</v>
      </c>
      <c r="G20" s="6" t="n">
        <v>413</v>
      </c>
      <c r="H20" s="6" t="s">
        <v>48</v>
      </c>
      <c r="I20" s="6"/>
    </row>
    <row r="21" customFormat="false" ht="15" hidden="false" customHeight="false" outlineLevel="0" collapsed="false">
      <c r="A21" s="5" t="s">
        <v>49</v>
      </c>
      <c r="B21" s="6" t="s">
        <v>29</v>
      </c>
      <c r="C21" s="6" t="s">
        <v>20</v>
      </c>
      <c r="D21" s="7" t="s">
        <v>15</v>
      </c>
      <c r="E21" s="8" t="n">
        <v>6.77</v>
      </c>
      <c r="F21" s="6" t="n">
        <v>1</v>
      </c>
      <c r="G21" s="6" t="n">
        <v>44</v>
      </c>
      <c r="H21" s="6" t="s">
        <v>50</v>
      </c>
      <c r="I21" s="6"/>
    </row>
    <row r="22" customFormat="false" ht="15" hidden="false" customHeight="false" outlineLevel="0" collapsed="false">
      <c r="A22" s="5" t="s">
        <v>51</v>
      </c>
      <c r="B22" s="6" t="s">
        <v>19</v>
      </c>
      <c r="C22" s="6" t="s">
        <v>14</v>
      </c>
      <c r="D22" s="9" t="s">
        <v>21</v>
      </c>
      <c r="E22" s="8" t="n">
        <v>6.98</v>
      </c>
      <c r="F22" s="6" t="n">
        <v>1</v>
      </c>
      <c r="G22" s="6" t="n">
        <v>397</v>
      </c>
      <c r="H22" s="6" t="s">
        <v>52</v>
      </c>
      <c r="I22" s="6"/>
    </row>
    <row r="23" customFormat="false" ht="15" hidden="false" customHeight="false" outlineLevel="0" collapsed="false">
      <c r="A23" s="5" t="s">
        <v>53</v>
      </c>
      <c r="B23" s="6" t="s">
        <v>13</v>
      </c>
      <c r="C23" s="6" t="s">
        <v>14</v>
      </c>
      <c r="D23" s="7" t="s">
        <v>15</v>
      </c>
      <c r="E23" s="8" t="n">
        <v>7</v>
      </c>
      <c r="F23" s="6" t="n">
        <v>0</v>
      </c>
      <c r="G23" s="6" t="n">
        <v>1</v>
      </c>
      <c r="H23" s="6" t="s">
        <v>16</v>
      </c>
      <c r="I23" s="6"/>
    </row>
    <row r="24" customFormat="false" ht="15" hidden="false" customHeight="false" outlineLevel="0" collapsed="false">
      <c r="A24" s="5" t="s">
        <v>54</v>
      </c>
      <c r="B24" s="6" t="s">
        <v>55</v>
      </c>
      <c r="C24" s="6" t="s">
        <v>25</v>
      </c>
      <c r="D24" s="9" t="s">
        <v>21</v>
      </c>
      <c r="E24" s="8" t="n">
        <v>7.24</v>
      </c>
      <c r="F24" s="6" t="n">
        <v>0</v>
      </c>
      <c r="G24" s="6" t="n">
        <v>76</v>
      </c>
      <c r="H24" s="6" t="s">
        <v>16</v>
      </c>
      <c r="I24" s="6"/>
    </row>
    <row r="25" customFormat="false" ht="15" hidden="false" customHeight="false" outlineLevel="0" collapsed="false">
      <c r="A25" s="5" t="s">
        <v>56</v>
      </c>
      <c r="B25" s="6" t="s">
        <v>24</v>
      </c>
      <c r="C25" s="6" t="s">
        <v>20</v>
      </c>
      <c r="D25" s="9" t="s">
        <v>21</v>
      </c>
      <c r="E25" s="8" t="n">
        <v>7.35</v>
      </c>
      <c r="F25" s="6" t="n">
        <v>1</v>
      </c>
      <c r="G25" s="6" t="n">
        <v>65</v>
      </c>
      <c r="H25" s="6" t="s">
        <v>57</v>
      </c>
      <c r="I25" s="6"/>
    </row>
    <row r="26" customFormat="false" ht="15" hidden="false" customHeight="false" outlineLevel="0" collapsed="false">
      <c r="A26" s="5" t="s">
        <v>58</v>
      </c>
      <c r="B26" s="6" t="s">
        <v>19</v>
      </c>
      <c r="C26" s="6" t="s">
        <v>25</v>
      </c>
      <c r="D26" s="7" t="s">
        <v>15</v>
      </c>
      <c r="E26" s="8" t="n">
        <v>7.41</v>
      </c>
      <c r="F26" s="6" t="n">
        <v>0</v>
      </c>
      <c r="G26" s="6" t="n">
        <v>34</v>
      </c>
      <c r="H26" s="6" t="s">
        <v>16</v>
      </c>
      <c r="I26" s="6"/>
    </row>
    <row r="27" customFormat="false" ht="15" hidden="false" customHeight="false" outlineLevel="0" collapsed="false">
      <c r="A27" s="5" t="s">
        <v>59</v>
      </c>
      <c r="B27" s="6" t="s">
        <v>55</v>
      </c>
      <c r="C27" s="6" t="s">
        <v>20</v>
      </c>
      <c r="D27" s="9" t="s">
        <v>21</v>
      </c>
      <c r="E27" s="8" t="n">
        <v>7.45</v>
      </c>
      <c r="F27" s="6" t="n">
        <v>1</v>
      </c>
      <c r="G27" s="6" t="n">
        <v>77</v>
      </c>
      <c r="H27" s="6" t="s">
        <v>60</v>
      </c>
      <c r="I27" s="6"/>
    </row>
    <row r="28" customFormat="false" ht="15" hidden="false" customHeight="false" outlineLevel="0" collapsed="false">
      <c r="A28" s="5" t="s">
        <v>61</v>
      </c>
      <c r="B28" s="6" t="s">
        <v>24</v>
      </c>
      <c r="C28" s="6" t="s">
        <v>20</v>
      </c>
      <c r="D28" s="7" t="s">
        <v>15</v>
      </c>
      <c r="E28" s="8" t="n">
        <v>8</v>
      </c>
      <c r="F28" s="6" t="n">
        <v>0</v>
      </c>
      <c r="G28" s="6" t="n">
        <v>14</v>
      </c>
      <c r="H28" s="6" t="s">
        <v>16</v>
      </c>
      <c r="I28" s="6"/>
    </row>
    <row r="29" customFormat="false" ht="15" hidden="false" customHeight="false" outlineLevel="0" collapsed="false">
      <c r="A29" s="5" t="s">
        <v>62</v>
      </c>
      <c r="B29" s="6" t="s">
        <v>39</v>
      </c>
      <c r="C29" s="6" t="s">
        <v>20</v>
      </c>
      <c r="D29" s="9" t="s">
        <v>21</v>
      </c>
      <c r="E29" s="8" t="n">
        <v>8.08</v>
      </c>
      <c r="F29" s="6" t="n">
        <v>2</v>
      </c>
      <c r="G29" s="6" t="n">
        <v>190</v>
      </c>
      <c r="H29" s="6" t="s">
        <v>63</v>
      </c>
      <c r="I29" s="6"/>
    </row>
    <row r="30" customFormat="false" ht="15" hidden="false" customHeight="false" outlineLevel="0" collapsed="false">
      <c r="A30" s="5" t="s">
        <v>64</v>
      </c>
      <c r="B30" s="6" t="s">
        <v>24</v>
      </c>
      <c r="C30" s="6" t="s">
        <v>14</v>
      </c>
      <c r="D30" s="9" t="s">
        <v>21</v>
      </c>
      <c r="E30" s="8" t="n">
        <v>8.13</v>
      </c>
      <c r="F30" s="6" t="n">
        <v>0</v>
      </c>
      <c r="G30" s="6" t="n">
        <v>305</v>
      </c>
      <c r="H30" s="6" t="s">
        <v>16</v>
      </c>
      <c r="I30" s="6"/>
    </row>
    <row r="31" customFormat="false" ht="15" hidden="false" customHeight="false" outlineLevel="0" collapsed="false">
      <c r="A31" s="5" t="s">
        <v>65</v>
      </c>
      <c r="B31" s="6" t="s">
        <v>39</v>
      </c>
      <c r="C31" s="6" t="s">
        <v>20</v>
      </c>
      <c r="D31" s="9" t="s">
        <v>21</v>
      </c>
      <c r="E31" s="8" t="n">
        <v>8.2</v>
      </c>
      <c r="F31" s="6" t="n">
        <v>1</v>
      </c>
      <c r="G31" s="6" t="n">
        <v>127</v>
      </c>
      <c r="H31" s="6" t="s">
        <v>66</v>
      </c>
      <c r="I31" s="6"/>
    </row>
    <row r="32" customFormat="false" ht="15" hidden="false" customHeight="false" outlineLevel="0" collapsed="false">
      <c r="A32" s="5" t="s">
        <v>67</v>
      </c>
      <c r="B32" s="6" t="s">
        <v>19</v>
      </c>
      <c r="C32" s="6" t="s">
        <v>20</v>
      </c>
      <c r="D32" s="9" t="s">
        <v>21</v>
      </c>
      <c r="E32" s="8" t="n">
        <v>8.21</v>
      </c>
      <c r="F32" s="6" t="n">
        <v>0</v>
      </c>
      <c r="G32" s="6" t="n">
        <v>140</v>
      </c>
      <c r="H32" s="6" t="s">
        <v>16</v>
      </c>
      <c r="I32" s="6"/>
    </row>
    <row r="33" customFormat="false" ht="15" hidden="false" customHeight="false" outlineLevel="0" collapsed="false">
      <c r="A33" s="5" t="s">
        <v>68</v>
      </c>
      <c r="B33" s="6" t="s">
        <v>39</v>
      </c>
      <c r="C33" s="6" t="s">
        <v>14</v>
      </c>
      <c r="D33" s="9" t="s">
        <v>21</v>
      </c>
      <c r="E33" s="8" t="n">
        <v>8.32</v>
      </c>
      <c r="F33" s="6" t="n">
        <v>0</v>
      </c>
      <c r="G33" s="6" t="n">
        <v>66</v>
      </c>
      <c r="H33" s="6" t="s">
        <v>16</v>
      </c>
      <c r="I33" s="6"/>
    </row>
    <row r="34" customFormat="false" ht="15" hidden="false" customHeight="false" outlineLevel="0" collapsed="false">
      <c r="A34" s="5" t="s">
        <v>69</v>
      </c>
      <c r="B34" s="6" t="s">
        <v>39</v>
      </c>
      <c r="C34" s="6" t="s">
        <v>20</v>
      </c>
      <c r="D34" s="9" t="s">
        <v>21</v>
      </c>
      <c r="E34" s="8" t="n">
        <v>8.43</v>
      </c>
      <c r="F34" s="6" t="n">
        <v>1</v>
      </c>
      <c r="G34" s="6" t="n">
        <v>116</v>
      </c>
      <c r="H34" s="6" t="s">
        <v>70</v>
      </c>
      <c r="I34" s="6"/>
    </row>
    <row r="35" customFormat="false" ht="15" hidden="false" customHeight="false" outlineLevel="0" collapsed="false">
      <c r="A35" s="5" t="s">
        <v>71</v>
      </c>
      <c r="B35" s="6" t="s">
        <v>55</v>
      </c>
      <c r="C35" s="6" t="s">
        <v>20</v>
      </c>
      <c r="D35" s="9" t="s">
        <v>21</v>
      </c>
      <c r="E35" s="8" t="n">
        <v>8.54</v>
      </c>
      <c r="F35" s="6" t="n">
        <v>0</v>
      </c>
      <c r="G35" s="6" t="n">
        <v>65</v>
      </c>
      <c r="H35" s="6" t="s">
        <v>16</v>
      </c>
      <c r="I35" s="6"/>
    </row>
    <row r="36" customFormat="false" ht="15" hidden="false" customHeight="false" outlineLevel="0" collapsed="false">
      <c r="A36" s="5" t="s">
        <v>72</v>
      </c>
      <c r="B36" s="6" t="s">
        <v>55</v>
      </c>
      <c r="C36" s="6" t="s">
        <v>20</v>
      </c>
      <c r="D36" s="7" t="s">
        <v>15</v>
      </c>
      <c r="E36" s="8" t="n">
        <v>8.59</v>
      </c>
      <c r="F36" s="6" t="n">
        <v>0</v>
      </c>
      <c r="G36" s="6" t="n">
        <v>46</v>
      </c>
      <c r="H36" s="6" t="s">
        <v>16</v>
      </c>
      <c r="I36" s="6"/>
    </row>
    <row r="37" customFormat="false" ht="15" hidden="false" customHeight="false" outlineLevel="0" collapsed="false">
      <c r="A37" s="5" t="s">
        <v>73</v>
      </c>
      <c r="B37" s="6" t="s">
        <v>39</v>
      </c>
      <c r="C37" s="6" t="s">
        <v>14</v>
      </c>
      <c r="D37" s="9" t="s">
        <v>21</v>
      </c>
      <c r="E37" s="8" t="n">
        <v>8.95</v>
      </c>
      <c r="F37" s="6" t="n">
        <v>1</v>
      </c>
      <c r="G37" s="6" t="n">
        <v>102</v>
      </c>
      <c r="H37" s="6" t="s">
        <v>74</v>
      </c>
      <c r="I37" s="6"/>
    </row>
    <row r="38" customFormat="false" ht="15" hidden="false" customHeight="false" outlineLevel="0" collapsed="false">
      <c r="A38" s="5" t="s">
        <v>75</v>
      </c>
      <c r="B38" s="6" t="s">
        <v>24</v>
      </c>
      <c r="C38" s="6" t="s">
        <v>14</v>
      </c>
      <c r="D38" s="7" t="s">
        <v>15</v>
      </c>
      <c r="E38" s="8" t="n">
        <v>9.5</v>
      </c>
      <c r="F38" s="6" t="n">
        <v>0</v>
      </c>
      <c r="G38" s="6" t="n">
        <v>6</v>
      </c>
      <c r="H38" s="6" t="s">
        <v>16</v>
      </c>
      <c r="I38" s="6"/>
    </row>
    <row r="39" customFormat="false" ht="15" hidden="false" customHeight="false" outlineLevel="0" collapsed="false">
      <c r="A39" s="5" t="s">
        <v>76</v>
      </c>
      <c r="B39" s="6" t="s">
        <v>29</v>
      </c>
      <c r="C39" s="6" t="s">
        <v>20</v>
      </c>
      <c r="D39" s="7" t="s">
        <v>15</v>
      </c>
      <c r="E39" s="8" t="n">
        <v>9.54</v>
      </c>
      <c r="F39" s="6" t="n">
        <v>1</v>
      </c>
      <c r="G39" s="6" t="n">
        <v>26</v>
      </c>
      <c r="H39" s="6" t="s">
        <v>77</v>
      </c>
      <c r="I39" s="6"/>
    </row>
    <row r="40" customFormat="false" ht="15" hidden="false" customHeight="false" outlineLevel="0" collapsed="false">
      <c r="A40" s="5" t="s">
        <v>78</v>
      </c>
      <c r="B40" s="6" t="s">
        <v>55</v>
      </c>
      <c r="C40" s="6" t="s">
        <v>20</v>
      </c>
      <c r="D40" s="9" t="s">
        <v>21</v>
      </c>
      <c r="E40" s="8" t="n">
        <v>9.89</v>
      </c>
      <c r="F40" s="6" t="n">
        <v>2</v>
      </c>
      <c r="G40" s="6" t="n">
        <v>142</v>
      </c>
      <c r="H40" s="6" t="s">
        <v>79</v>
      </c>
      <c r="I40" s="6"/>
    </row>
    <row r="41" customFormat="false" ht="15" hidden="false" customHeight="false" outlineLevel="0" collapsed="false">
      <c r="A41" s="5" t="s">
        <v>80</v>
      </c>
      <c r="B41" s="6" t="s">
        <v>55</v>
      </c>
      <c r="C41" s="6" t="s">
        <v>20</v>
      </c>
      <c r="D41" s="7" t="s">
        <v>15</v>
      </c>
      <c r="E41" s="10" t="n">
        <v>10.5</v>
      </c>
      <c r="F41" s="6" t="n">
        <v>0</v>
      </c>
      <c r="G41" s="6" t="n">
        <v>14</v>
      </c>
      <c r="H41" s="6" t="s">
        <v>16</v>
      </c>
      <c r="I41" s="6"/>
    </row>
    <row r="42" customFormat="false" ht="15" hidden="false" customHeight="false" outlineLevel="0" collapsed="false">
      <c r="A42" s="5" t="s">
        <v>81</v>
      </c>
      <c r="B42" s="6" t="s">
        <v>29</v>
      </c>
      <c r="C42" s="6" t="s">
        <v>25</v>
      </c>
      <c r="D42" s="7" t="s">
        <v>15</v>
      </c>
      <c r="E42" s="10" t="n">
        <v>10.51</v>
      </c>
      <c r="F42" s="6" t="n">
        <v>0</v>
      </c>
      <c r="G42" s="6" t="n">
        <v>49</v>
      </c>
      <c r="H42" s="6" t="s">
        <v>16</v>
      </c>
      <c r="I42" s="6"/>
    </row>
    <row r="43" customFormat="false" ht="15" hidden="false" customHeight="false" outlineLevel="0" collapsed="false">
      <c r="A43" s="5" t="s">
        <v>82</v>
      </c>
      <c r="B43" s="6" t="s">
        <v>29</v>
      </c>
      <c r="C43" s="6" t="s">
        <v>14</v>
      </c>
      <c r="D43" s="7" t="s">
        <v>15</v>
      </c>
      <c r="E43" s="10" t="n">
        <v>11</v>
      </c>
      <c r="F43" s="6" t="n">
        <v>0</v>
      </c>
      <c r="G43" s="6" t="n">
        <v>31</v>
      </c>
      <c r="H43" s="6" t="s">
        <v>16</v>
      </c>
      <c r="I43" s="6"/>
    </row>
    <row r="44" customFormat="false" ht="15" hidden="false" customHeight="false" outlineLevel="0" collapsed="false">
      <c r="A44" s="5" t="s">
        <v>83</v>
      </c>
      <c r="B44" s="6" t="s">
        <v>29</v>
      </c>
      <c r="C44" s="6" t="s">
        <v>14</v>
      </c>
      <c r="D44" s="7" t="s">
        <v>15</v>
      </c>
      <c r="E44" s="10" t="n">
        <v>11</v>
      </c>
      <c r="F44" s="6" t="n">
        <v>0</v>
      </c>
      <c r="G44" s="6" t="n">
        <v>4</v>
      </c>
      <c r="H44" s="6" t="s">
        <v>16</v>
      </c>
      <c r="I44" s="6"/>
    </row>
    <row r="45" customFormat="false" ht="15" hidden="false" customHeight="false" outlineLevel="0" collapsed="false">
      <c r="A45" s="5" t="s">
        <v>84</v>
      </c>
      <c r="B45" s="6" t="s">
        <v>31</v>
      </c>
      <c r="C45" s="6" t="s">
        <v>14</v>
      </c>
      <c r="D45" s="7" t="s">
        <v>15</v>
      </c>
      <c r="E45" s="10" t="n">
        <v>11</v>
      </c>
      <c r="F45" s="6" t="n">
        <v>0</v>
      </c>
      <c r="G45" s="6" t="n">
        <v>1</v>
      </c>
      <c r="H45" s="6" t="s">
        <v>16</v>
      </c>
      <c r="I45" s="6"/>
    </row>
    <row r="46" customFormat="false" ht="15" hidden="false" customHeight="false" outlineLevel="0" collapsed="false">
      <c r="A46" s="5" t="s">
        <v>85</v>
      </c>
      <c r="B46" s="6" t="s">
        <v>86</v>
      </c>
      <c r="C46" s="6" t="s">
        <v>14</v>
      </c>
      <c r="D46" s="7" t="s">
        <v>15</v>
      </c>
      <c r="E46" s="10" t="n">
        <v>11.09</v>
      </c>
      <c r="F46" s="6" t="n">
        <v>0</v>
      </c>
      <c r="G46" s="6" t="n">
        <v>45</v>
      </c>
      <c r="H46" s="6" t="s">
        <v>16</v>
      </c>
      <c r="I46" s="6"/>
    </row>
    <row r="47" customFormat="false" ht="15" hidden="false" customHeight="false" outlineLevel="0" collapsed="false">
      <c r="A47" s="5" t="s">
        <v>87</v>
      </c>
      <c r="B47" s="6" t="s">
        <v>24</v>
      </c>
      <c r="C47" s="6" t="s">
        <v>14</v>
      </c>
      <c r="D47" s="7" t="s">
        <v>15</v>
      </c>
      <c r="E47" s="10" t="n">
        <v>11.16</v>
      </c>
      <c r="F47" s="6" t="n">
        <v>0</v>
      </c>
      <c r="G47" s="6" t="n">
        <v>57</v>
      </c>
      <c r="H47" s="6" t="s">
        <v>16</v>
      </c>
      <c r="I47" s="6"/>
    </row>
    <row r="48" customFormat="false" ht="15" hidden="false" customHeight="false" outlineLevel="0" collapsed="false">
      <c r="A48" s="5" t="s">
        <v>88</v>
      </c>
      <c r="B48" s="6" t="s">
        <v>19</v>
      </c>
      <c r="C48" s="6" t="s">
        <v>14</v>
      </c>
      <c r="D48" s="7" t="s">
        <v>15</v>
      </c>
      <c r="E48" s="10" t="n">
        <v>11.54</v>
      </c>
      <c r="F48" s="6" t="n">
        <v>0</v>
      </c>
      <c r="G48" s="6" t="n">
        <v>13</v>
      </c>
      <c r="H48" s="6" t="s">
        <v>16</v>
      </c>
      <c r="I48" s="6"/>
    </row>
    <row r="49" customFormat="false" ht="15" hidden="false" customHeight="false" outlineLevel="0" collapsed="false">
      <c r="A49" s="5" t="s">
        <v>89</v>
      </c>
      <c r="B49" s="6" t="s">
        <v>19</v>
      </c>
      <c r="C49" s="6" t="s">
        <v>14</v>
      </c>
      <c r="D49" s="7" t="s">
        <v>15</v>
      </c>
      <c r="E49" s="10" t="n">
        <v>11.55</v>
      </c>
      <c r="F49" s="6" t="n">
        <v>0</v>
      </c>
      <c r="G49" s="6" t="n">
        <v>55</v>
      </c>
      <c r="H49" s="6" t="s">
        <v>16</v>
      </c>
      <c r="I49" s="6"/>
    </row>
    <row r="50" customFormat="false" ht="15" hidden="false" customHeight="false" outlineLevel="0" collapsed="false">
      <c r="A50" s="5" t="s">
        <v>90</v>
      </c>
      <c r="B50" s="6" t="s">
        <v>29</v>
      </c>
      <c r="C50" s="6" t="s">
        <v>14</v>
      </c>
      <c r="D50" s="7" t="s">
        <v>15</v>
      </c>
      <c r="E50" s="10" t="n">
        <v>12.36</v>
      </c>
      <c r="F50" s="6" t="n">
        <v>0</v>
      </c>
      <c r="G50" s="6" t="n">
        <v>14</v>
      </c>
      <c r="H50" s="6" t="s">
        <v>16</v>
      </c>
      <c r="I50" s="6"/>
    </row>
    <row r="51" customFormat="false" ht="15" hidden="false" customHeight="false" outlineLevel="0" collapsed="false">
      <c r="A51" s="5" t="s">
        <v>91</v>
      </c>
      <c r="B51" s="6" t="s">
        <v>92</v>
      </c>
      <c r="C51" s="6" t="s">
        <v>14</v>
      </c>
      <c r="D51" s="7" t="s">
        <v>15</v>
      </c>
      <c r="E51" s="10" t="n">
        <v>12.72</v>
      </c>
      <c r="F51" s="6" t="n">
        <v>2</v>
      </c>
      <c r="G51" s="6" t="n">
        <v>98</v>
      </c>
      <c r="H51" s="6" t="s">
        <v>93</v>
      </c>
      <c r="I51" s="6"/>
    </row>
    <row r="52" customFormat="false" ht="15" hidden="false" customHeight="false" outlineLevel="0" collapsed="false">
      <c r="A52" s="5" t="s">
        <v>94</v>
      </c>
      <c r="B52" s="6" t="s">
        <v>13</v>
      </c>
      <c r="C52" s="6" t="s">
        <v>14</v>
      </c>
      <c r="D52" s="7" t="s">
        <v>15</v>
      </c>
      <c r="E52" s="10" t="n">
        <v>14.4</v>
      </c>
      <c r="F52" s="6" t="n">
        <v>0</v>
      </c>
      <c r="G52" s="6" t="n">
        <v>5</v>
      </c>
      <c r="H52" s="6" t="s">
        <v>16</v>
      </c>
      <c r="I52" s="6"/>
    </row>
    <row r="53" customFormat="false" ht="15" hidden="false" customHeight="false" outlineLevel="0" collapsed="false">
      <c r="A53" s="5" t="s">
        <v>95</v>
      </c>
      <c r="B53" s="6" t="s">
        <v>19</v>
      </c>
      <c r="C53" s="6" t="s">
        <v>20</v>
      </c>
      <c r="D53" s="11" t="s">
        <v>96</v>
      </c>
      <c r="E53" s="10" t="n">
        <v>14.56</v>
      </c>
      <c r="F53" s="6" t="n">
        <v>9</v>
      </c>
      <c r="G53" s="6" t="n">
        <v>648</v>
      </c>
      <c r="H53" s="6" t="s">
        <v>97</v>
      </c>
      <c r="I53" s="6"/>
    </row>
    <row r="54" customFormat="false" ht="15" hidden="false" customHeight="false" outlineLevel="0" collapsed="false">
      <c r="A54" s="5" t="s">
        <v>98</v>
      </c>
      <c r="B54" s="6" t="s">
        <v>19</v>
      </c>
      <c r="C54" s="6" t="s">
        <v>14</v>
      </c>
      <c r="D54" s="7" t="s">
        <v>15</v>
      </c>
      <c r="E54" s="10" t="n">
        <v>15.38</v>
      </c>
      <c r="F54" s="6" t="n">
        <v>0</v>
      </c>
      <c r="G54" s="6" t="n">
        <v>37</v>
      </c>
      <c r="H54" s="6" t="s">
        <v>16</v>
      </c>
      <c r="I54" s="6"/>
    </row>
    <row r="55" customFormat="false" ht="15" hidden="false" customHeight="false" outlineLevel="0" collapsed="false">
      <c r="A55" s="5" t="s">
        <v>99</v>
      </c>
      <c r="B55" s="6" t="s">
        <v>29</v>
      </c>
      <c r="C55" s="6" t="s">
        <v>14</v>
      </c>
      <c r="D55" s="7" t="s">
        <v>15</v>
      </c>
      <c r="E55" s="10" t="n">
        <v>16</v>
      </c>
      <c r="F55" s="6" t="n">
        <v>1</v>
      </c>
      <c r="G55" s="6" t="n">
        <v>2</v>
      </c>
      <c r="H55" s="6" t="s">
        <v>100</v>
      </c>
      <c r="I55" s="6"/>
    </row>
    <row r="56" customFormat="false" ht="15" hidden="false" customHeight="false" outlineLevel="0" collapsed="false">
      <c r="A56" s="5" t="s">
        <v>101</v>
      </c>
      <c r="B56" s="6" t="s">
        <v>55</v>
      </c>
      <c r="C56" s="6" t="s">
        <v>20</v>
      </c>
      <c r="D56" s="7" t="s">
        <v>15</v>
      </c>
      <c r="E56" s="10" t="n">
        <v>16.97</v>
      </c>
      <c r="F56" s="6" t="n">
        <v>0</v>
      </c>
      <c r="G56" s="6" t="n">
        <v>78</v>
      </c>
      <c r="H56" s="6" t="s">
        <v>16</v>
      </c>
      <c r="I56" s="6"/>
    </row>
    <row r="57" customFormat="false" ht="15" hidden="false" customHeight="false" outlineLevel="0" collapsed="false">
      <c r="A57" s="5" t="s">
        <v>102</v>
      </c>
      <c r="B57" s="6" t="s">
        <v>55</v>
      </c>
      <c r="C57" s="6" t="s">
        <v>20</v>
      </c>
      <c r="D57" s="7" t="s">
        <v>15</v>
      </c>
      <c r="E57" s="10" t="n">
        <v>17.14</v>
      </c>
      <c r="F57" s="6" t="n">
        <v>0</v>
      </c>
      <c r="G57" s="6" t="n">
        <v>72</v>
      </c>
      <c r="H57" s="6" t="s">
        <v>16</v>
      </c>
      <c r="I57" s="6"/>
    </row>
    <row r="58" customFormat="false" ht="15" hidden="false" customHeight="false" outlineLevel="0" collapsed="false">
      <c r="A58" s="5" t="s">
        <v>103</v>
      </c>
      <c r="B58" s="6" t="s">
        <v>24</v>
      </c>
      <c r="C58" s="6" t="s">
        <v>14</v>
      </c>
      <c r="D58" s="7" t="s">
        <v>15</v>
      </c>
      <c r="E58" s="10" t="n">
        <v>17.24</v>
      </c>
      <c r="F58" s="6" t="n">
        <v>0</v>
      </c>
      <c r="G58" s="6" t="n">
        <v>34</v>
      </c>
      <c r="H58" s="6" t="s">
        <v>16</v>
      </c>
      <c r="I58" s="6"/>
    </row>
    <row r="59" customFormat="false" ht="15" hidden="false" customHeight="false" outlineLevel="0" collapsed="false">
      <c r="A59" s="5" t="s">
        <v>104</v>
      </c>
      <c r="B59" s="6" t="s">
        <v>31</v>
      </c>
      <c r="C59" s="6" t="s">
        <v>14</v>
      </c>
      <c r="D59" s="7" t="s">
        <v>15</v>
      </c>
      <c r="E59" s="10" t="n">
        <v>18.44</v>
      </c>
      <c r="F59" s="6" t="n">
        <v>0</v>
      </c>
      <c r="G59" s="6" t="n">
        <v>36</v>
      </c>
      <c r="H59" s="6" t="s">
        <v>16</v>
      </c>
      <c r="I59" s="6"/>
    </row>
    <row r="60" customFormat="false" ht="15" hidden="false" customHeight="false" outlineLevel="0" collapsed="false">
      <c r="A60" s="5" t="s">
        <v>105</v>
      </c>
      <c r="B60" s="6" t="s">
        <v>86</v>
      </c>
      <c r="C60" s="6" t="s">
        <v>14</v>
      </c>
      <c r="D60" s="11" t="s">
        <v>96</v>
      </c>
      <c r="E60" s="10" t="n">
        <v>18.75</v>
      </c>
      <c r="F60" s="6" t="n">
        <v>0</v>
      </c>
      <c r="G60" s="6" t="n">
        <v>117</v>
      </c>
      <c r="H60" s="6" t="s">
        <v>16</v>
      </c>
      <c r="I60" s="6"/>
    </row>
    <row r="61" customFormat="false" ht="15" hidden="false" customHeight="false" outlineLevel="0" collapsed="false">
      <c r="A61" s="5" t="s">
        <v>106</v>
      </c>
      <c r="B61" s="6" t="s">
        <v>31</v>
      </c>
      <c r="C61" s="6" t="s">
        <v>14</v>
      </c>
      <c r="D61" s="11" t="s">
        <v>96</v>
      </c>
      <c r="E61" s="10" t="n">
        <v>19.02</v>
      </c>
      <c r="F61" s="6" t="n">
        <v>5</v>
      </c>
      <c r="G61" s="6" t="n">
        <v>472</v>
      </c>
      <c r="H61" s="6" t="s">
        <v>107</v>
      </c>
      <c r="I61" s="6"/>
    </row>
    <row r="62" customFormat="false" ht="15" hidden="false" customHeight="false" outlineLevel="0" collapsed="false">
      <c r="A62" s="5" t="s">
        <v>108</v>
      </c>
      <c r="B62" s="6" t="s">
        <v>39</v>
      </c>
      <c r="C62" s="6" t="s">
        <v>25</v>
      </c>
      <c r="D62" s="7" t="s">
        <v>15</v>
      </c>
      <c r="E62" s="12" t="n">
        <v>21.89</v>
      </c>
      <c r="F62" s="6" t="n">
        <v>0</v>
      </c>
      <c r="G62" s="6" t="n">
        <v>156</v>
      </c>
      <c r="H62" s="6" t="s">
        <v>16</v>
      </c>
      <c r="I62" s="6"/>
    </row>
    <row r="63" customFormat="false" ht="15" hidden="false" customHeight="false" outlineLevel="0" collapsed="false">
      <c r="A63" s="5" t="s">
        <v>109</v>
      </c>
      <c r="B63" s="6" t="s">
        <v>19</v>
      </c>
      <c r="C63" s="6" t="s">
        <v>14</v>
      </c>
      <c r="D63" s="7" t="s">
        <v>110</v>
      </c>
      <c r="E63" s="12" t="n">
        <v>22.62</v>
      </c>
      <c r="F63" s="6" t="n">
        <v>1</v>
      </c>
      <c r="G63" s="6" t="n">
        <v>13</v>
      </c>
      <c r="H63" s="6" t="s">
        <v>111</v>
      </c>
      <c r="I63" s="6"/>
    </row>
    <row r="64" customFormat="false" ht="15" hidden="false" customHeight="false" outlineLevel="0" collapsed="false">
      <c r="A64" s="5" t="s">
        <v>112</v>
      </c>
      <c r="B64" s="6" t="s">
        <v>86</v>
      </c>
      <c r="C64" s="6" t="s">
        <v>14</v>
      </c>
      <c r="D64" s="7" t="s">
        <v>15</v>
      </c>
      <c r="E64" s="12" t="n">
        <v>24.46</v>
      </c>
      <c r="F64" s="6" t="n">
        <v>1</v>
      </c>
      <c r="G64" s="6" t="n">
        <v>52</v>
      </c>
      <c r="H64" s="6" t="s">
        <v>113</v>
      </c>
      <c r="I64" s="6"/>
    </row>
    <row r="65" customFormat="false" ht="15" hidden="false" customHeight="false" outlineLevel="0" collapsed="false">
      <c r="A65" s="5" t="s">
        <v>114</v>
      </c>
      <c r="B65" s="6" t="s">
        <v>31</v>
      </c>
      <c r="C65" s="6" t="s">
        <v>14</v>
      </c>
      <c r="D65" s="11" t="s">
        <v>96</v>
      </c>
      <c r="E65" s="12" t="n">
        <v>29.62</v>
      </c>
      <c r="F65" s="6" t="n">
        <v>1</v>
      </c>
      <c r="G65" s="6" t="n">
        <v>227</v>
      </c>
      <c r="H65" s="6" t="s">
        <v>115</v>
      </c>
      <c r="I65" s="6"/>
    </row>
    <row r="66" customFormat="false" ht="15" hidden="false" customHeight="false" outlineLevel="0" collapsed="false">
      <c r="A66" s="5" t="s">
        <v>116</v>
      </c>
      <c r="B66" s="6" t="s">
        <v>117</v>
      </c>
      <c r="C66" s="6" t="s">
        <v>20</v>
      </c>
      <c r="D66" s="7" t="s">
        <v>110</v>
      </c>
      <c r="E66" s="12" t="n">
        <v>33.88</v>
      </c>
      <c r="F66" s="6" t="n">
        <v>0</v>
      </c>
      <c r="G66" s="6" t="n">
        <v>24</v>
      </c>
      <c r="H66" s="6" t="s">
        <v>16</v>
      </c>
      <c r="I66" s="6"/>
    </row>
    <row r="67" customFormat="false" ht="15" hidden="false" customHeight="false" outlineLevel="0" collapsed="false">
      <c r="A67" s="5" t="s">
        <v>118</v>
      </c>
      <c r="B67" s="6" t="s">
        <v>13</v>
      </c>
      <c r="C67" s="6" t="s">
        <v>25</v>
      </c>
      <c r="D67" s="7" t="s">
        <v>110</v>
      </c>
      <c r="E67" s="12" t="n">
        <v>45</v>
      </c>
      <c r="F67" s="6" t="n">
        <v>0</v>
      </c>
      <c r="G67" s="6" t="n">
        <v>23</v>
      </c>
      <c r="H67" s="6" t="s">
        <v>16</v>
      </c>
      <c r="I67" s="6"/>
    </row>
    <row r="68" customFormat="false" ht="15" hidden="false" customHeight="false" outlineLevel="0" collapsed="false">
      <c r="A68" s="5" t="s">
        <v>119</v>
      </c>
      <c r="B68" s="6" t="s">
        <v>55</v>
      </c>
      <c r="C68" s="6" t="s">
        <v>14</v>
      </c>
      <c r="D68" s="7" t="s">
        <v>110</v>
      </c>
      <c r="E68" s="12" t="n">
        <v>49.03</v>
      </c>
      <c r="F68" s="6" t="n">
        <v>0</v>
      </c>
      <c r="G68" s="6" t="n">
        <v>33</v>
      </c>
      <c r="H68" s="6" t="s">
        <v>16</v>
      </c>
      <c r="I68" s="6"/>
    </row>
    <row r="69" customFormat="false" ht="15" hidden="false" customHeight="false" outlineLevel="0" collapsed="false">
      <c r="A69" s="5" t="s">
        <v>120</v>
      </c>
      <c r="B69" s="6" t="s">
        <v>86</v>
      </c>
      <c r="C69" s="6" t="s">
        <v>14</v>
      </c>
      <c r="D69" s="11" t="s">
        <v>96</v>
      </c>
      <c r="E69" s="12" t="n">
        <v>49.33</v>
      </c>
      <c r="F69" s="6" t="n">
        <v>0</v>
      </c>
      <c r="G69" s="6" t="n">
        <v>610</v>
      </c>
      <c r="H69" s="6" t="s">
        <v>16</v>
      </c>
      <c r="I69" s="6"/>
    </row>
    <row r="70" customFormat="false" ht="15" hidden="false" customHeight="false" outlineLevel="0" collapsed="false">
      <c r="A70" s="5" t="s">
        <v>121</v>
      </c>
      <c r="B70" s="6" t="s">
        <v>31</v>
      </c>
      <c r="C70" s="6" t="s">
        <v>14</v>
      </c>
      <c r="D70" s="7" t="s">
        <v>110</v>
      </c>
      <c r="E70" s="13" t="n">
        <v>53.22</v>
      </c>
      <c r="F70" s="6" t="n">
        <v>0</v>
      </c>
      <c r="G70" s="6" t="n">
        <v>9</v>
      </c>
      <c r="H70" s="6" t="s">
        <v>16</v>
      </c>
      <c r="I70" s="6"/>
    </row>
    <row r="71" customFormat="false" ht="15" hidden="false" customHeight="false" outlineLevel="0" collapsed="false">
      <c r="A71" s="5" t="s">
        <v>122</v>
      </c>
      <c r="B71" s="6" t="s">
        <v>86</v>
      </c>
      <c r="C71" s="6" t="s">
        <v>14</v>
      </c>
      <c r="D71" s="11" t="s">
        <v>96</v>
      </c>
      <c r="E71" s="13" t="n">
        <v>60.13</v>
      </c>
      <c r="F71" s="6" t="n">
        <v>0</v>
      </c>
      <c r="G71" s="6" t="n">
        <v>786</v>
      </c>
      <c r="H71" s="6" t="s">
        <v>16</v>
      </c>
      <c r="I71" s="6"/>
    </row>
    <row r="72" customFormat="false" ht="15" hidden="false" customHeight="false" outlineLevel="0" collapsed="false">
      <c r="A72" s="5" t="s">
        <v>123</v>
      </c>
      <c r="B72" s="6" t="s">
        <v>86</v>
      </c>
      <c r="C72" s="6" t="s">
        <v>14</v>
      </c>
      <c r="D72" s="11" t="s">
        <v>96</v>
      </c>
      <c r="E72" s="13" t="n">
        <v>60.35</v>
      </c>
      <c r="F72" s="6" t="n">
        <v>0</v>
      </c>
      <c r="G72" s="6" t="n">
        <v>2164</v>
      </c>
      <c r="H72" s="6" t="s">
        <v>16</v>
      </c>
      <c r="I72" s="6"/>
    </row>
    <row r="73" customFormat="false" ht="15" hidden="false" customHeight="false" outlineLevel="0" collapsed="false">
      <c r="A73" s="5" t="s">
        <v>124</v>
      </c>
      <c r="B73" s="6" t="s">
        <v>13</v>
      </c>
      <c r="C73" s="6" t="s">
        <v>14</v>
      </c>
      <c r="D73" s="7" t="s">
        <v>110</v>
      </c>
      <c r="E73" s="13" t="n">
        <v>69</v>
      </c>
      <c r="F73" s="6" t="n">
        <v>0</v>
      </c>
      <c r="G73" s="6" t="n">
        <v>1</v>
      </c>
      <c r="H73" s="6" t="s">
        <v>16</v>
      </c>
      <c r="I73" s="6"/>
    </row>
  </sheetData>
  <autoFilter ref="A4:I73"/>
  <mergeCells count="3">
    <mergeCell ref="A1:I1"/>
    <mergeCell ref="A2:I2"/>
    <mergeCell ref="E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</cols>
  <sheetData>
    <row r="1" customFormat="false" ht="30" hidden="false" customHeight="true" outlineLevel="0" collapsed="false">
      <c r="A1" s="14" t="s">
        <v>125</v>
      </c>
      <c r="B1" s="14"/>
      <c r="C1" s="14"/>
      <c r="D1" s="14"/>
    </row>
    <row r="3" customFormat="false" ht="15" hidden="false" customHeight="false" outlineLevel="0" collapsed="false">
      <c r="A3" s="15" t="s">
        <v>126</v>
      </c>
      <c r="B3" s="15" t="s">
        <v>127</v>
      </c>
      <c r="C3" s="15" t="s">
        <v>128</v>
      </c>
      <c r="D3" s="15" t="s">
        <v>129</v>
      </c>
    </row>
    <row r="4" customFormat="false" ht="15" hidden="false" customHeight="false" outlineLevel="0" collapsed="false">
      <c r="A4" s="16" t="n">
        <v>46153</v>
      </c>
      <c r="B4" s="17" t="n">
        <v>0</v>
      </c>
      <c r="C4" s="17" t="n">
        <v>0</v>
      </c>
      <c r="D4" s="17" t="s">
        <v>130</v>
      </c>
    </row>
    <row r="5" customFormat="false" ht="15" hidden="false" customHeight="false" outlineLevel="0" collapsed="false">
      <c r="A5" s="16" t="n">
        <v>46154</v>
      </c>
      <c r="B5" s="17" t="n">
        <v>0</v>
      </c>
      <c r="C5" s="17" t="n">
        <v>0</v>
      </c>
      <c r="D5" s="17" t="s">
        <v>130</v>
      </c>
    </row>
    <row r="6" customFormat="false" ht="15" hidden="false" customHeight="false" outlineLevel="0" collapsed="false">
      <c r="A6" s="16" t="n">
        <v>46155</v>
      </c>
      <c r="B6" s="17" t="n">
        <v>0</v>
      </c>
      <c r="C6" s="17" t="n">
        <v>0</v>
      </c>
      <c r="D6" s="17" t="s">
        <v>130</v>
      </c>
    </row>
    <row r="7" customFormat="false" ht="15" hidden="false" customHeight="false" outlineLevel="0" collapsed="false">
      <c r="A7" s="16" t="n">
        <v>46156</v>
      </c>
      <c r="B7" s="17" t="n">
        <v>0</v>
      </c>
      <c r="C7" s="17" t="n">
        <v>0</v>
      </c>
      <c r="D7" s="17" t="s">
        <v>130</v>
      </c>
    </row>
    <row r="8" customFormat="false" ht="15" hidden="false" customHeight="false" outlineLevel="0" collapsed="false">
      <c r="A8" s="16" t="n">
        <v>46157</v>
      </c>
      <c r="B8" s="17" t="n">
        <v>0</v>
      </c>
      <c r="C8" s="17" t="n">
        <v>0</v>
      </c>
      <c r="D8" s="17" t="s">
        <v>130</v>
      </c>
    </row>
    <row r="9" customFormat="false" ht="15" hidden="false" customHeight="false" outlineLevel="0" collapsed="false">
      <c r="A9" s="16" t="n">
        <v>46158</v>
      </c>
      <c r="B9" s="17" t="n">
        <v>0</v>
      </c>
      <c r="C9" s="17" t="n">
        <v>0</v>
      </c>
      <c r="D9" s="17" t="s">
        <v>130</v>
      </c>
    </row>
    <row r="10" customFormat="false" ht="15" hidden="false" customHeight="false" outlineLevel="0" collapsed="false">
      <c r="A10" s="16" t="n">
        <v>46159</v>
      </c>
      <c r="B10" s="17" t="n">
        <v>0</v>
      </c>
      <c r="C10" s="17" t="n">
        <v>0</v>
      </c>
      <c r="D10" s="17" t="s">
        <v>130</v>
      </c>
    </row>
    <row r="11" customFormat="false" ht="15" hidden="false" customHeight="false" outlineLevel="0" collapsed="false">
      <c r="A11" s="16" t="n">
        <v>46160</v>
      </c>
      <c r="B11" s="17" t="n">
        <v>0</v>
      </c>
      <c r="C11" s="17" t="n">
        <v>0</v>
      </c>
      <c r="D11" s="17" t="s">
        <v>131</v>
      </c>
    </row>
    <row r="12" customFormat="false" ht="15" hidden="false" customHeight="false" outlineLevel="0" collapsed="false">
      <c r="A12" s="16" t="n">
        <v>46161</v>
      </c>
      <c r="B12" s="17" t="n">
        <v>0</v>
      </c>
      <c r="C12" s="17" t="n">
        <v>0</v>
      </c>
      <c r="D12" s="17" t="s">
        <v>131</v>
      </c>
    </row>
    <row r="13" customFormat="false" ht="15" hidden="false" customHeight="false" outlineLevel="0" collapsed="false">
      <c r="A13" s="16" t="n">
        <v>46162</v>
      </c>
      <c r="B13" s="17" t="n">
        <v>0</v>
      </c>
      <c r="C13" s="17" t="n">
        <v>0</v>
      </c>
      <c r="D13" s="17" t="s">
        <v>131</v>
      </c>
    </row>
    <row r="14" customFormat="false" ht="15" hidden="false" customHeight="false" outlineLevel="0" collapsed="false">
      <c r="A14" s="16" t="n">
        <v>46163</v>
      </c>
      <c r="B14" s="17" t="n">
        <v>0</v>
      </c>
      <c r="C14" s="17" t="n">
        <v>0</v>
      </c>
      <c r="D14" s="17" t="s">
        <v>131</v>
      </c>
    </row>
    <row r="15" customFormat="false" ht="15" hidden="false" customHeight="false" outlineLevel="0" collapsed="false">
      <c r="A15" s="16" t="n">
        <v>46164</v>
      </c>
      <c r="B15" s="17" t="n">
        <v>0</v>
      </c>
      <c r="C15" s="17" t="n">
        <v>0</v>
      </c>
      <c r="D15" s="17" t="s">
        <v>131</v>
      </c>
    </row>
    <row r="16" customFormat="false" ht="15" hidden="false" customHeight="false" outlineLevel="0" collapsed="false">
      <c r="A16" s="16" t="n">
        <v>46165</v>
      </c>
      <c r="B16" s="17" t="n">
        <v>2</v>
      </c>
      <c r="C16" s="17" t="n">
        <v>1</v>
      </c>
      <c r="D16" s="17" t="s">
        <v>131</v>
      </c>
    </row>
    <row r="17" customFormat="false" ht="15" hidden="false" customHeight="false" outlineLevel="0" collapsed="false">
      <c r="A17" s="16" t="n">
        <v>46166</v>
      </c>
      <c r="B17" s="17" t="n">
        <v>0</v>
      </c>
      <c r="C17" s="17" t="n">
        <v>0</v>
      </c>
      <c r="D17" s="17" t="s">
        <v>131</v>
      </c>
    </row>
    <row r="18" customFormat="false" ht="15" hidden="false" customHeight="false" outlineLevel="0" collapsed="false">
      <c r="A18" s="16" t="n">
        <v>46167</v>
      </c>
      <c r="B18" s="17" t="n">
        <v>0</v>
      </c>
      <c r="C18" s="17" t="n">
        <v>0</v>
      </c>
      <c r="D18" s="17" t="s">
        <v>132</v>
      </c>
    </row>
    <row r="19" customFormat="false" ht="15" hidden="false" customHeight="false" outlineLevel="0" collapsed="false">
      <c r="A19" s="16" t="n">
        <v>46168</v>
      </c>
      <c r="B19" s="17" t="n">
        <v>7</v>
      </c>
      <c r="C19" s="17" t="n">
        <v>3</v>
      </c>
      <c r="D19" s="17" t="s">
        <v>132</v>
      </c>
    </row>
    <row r="20" customFormat="false" ht="15" hidden="false" customHeight="false" outlineLevel="0" collapsed="false">
      <c r="A20" s="16" t="n">
        <v>46169</v>
      </c>
      <c r="B20" s="17" t="n">
        <v>6</v>
      </c>
      <c r="C20" s="17" t="n">
        <v>1</v>
      </c>
      <c r="D20" s="17" t="s">
        <v>132</v>
      </c>
    </row>
    <row r="21" customFormat="false" ht="15" hidden="false" customHeight="false" outlineLevel="0" collapsed="false">
      <c r="A21" s="16" t="n">
        <v>46170</v>
      </c>
      <c r="B21" s="17" t="n">
        <v>2</v>
      </c>
      <c r="C21" s="17" t="n">
        <v>1</v>
      </c>
      <c r="D21" s="17" t="s">
        <v>132</v>
      </c>
    </row>
    <row r="22" customFormat="false" ht="15" hidden="false" customHeight="false" outlineLevel="0" collapsed="false">
      <c r="A22" s="16" t="n">
        <v>46171</v>
      </c>
      <c r="B22" s="17" t="n">
        <v>2</v>
      </c>
      <c r="C22" s="17" t="n">
        <v>1</v>
      </c>
      <c r="D22" s="17" t="s">
        <v>132</v>
      </c>
    </row>
    <row r="23" customFormat="false" ht="15" hidden="false" customHeight="false" outlineLevel="0" collapsed="false">
      <c r="A23" s="16" t="n">
        <v>46172</v>
      </c>
      <c r="B23" s="17" t="n">
        <v>1</v>
      </c>
      <c r="C23" s="17" t="n">
        <v>1</v>
      </c>
      <c r="D23" s="17" t="s">
        <v>132</v>
      </c>
    </row>
    <row r="24" customFormat="false" ht="15" hidden="false" customHeight="false" outlineLevel="0" collapsed="false">
      <c r="A24" s="16" t="n">
        <v>46173</v>
      </c>
      <c r="B24" s="17" t="n">
        <v>1</v>
      </c>
      <c r="C24" s="17" t="n">
        <v>1</v>
      </c>
      <c r="D24" s="17" t="s">
        <v>132</v>
      </c>
    </row>
    <row r="25" customFormat="false" ht="15" hidden="false" customHeight="false" outlineLevel="0" collapsed="false">
      <c r="A25" s="16" t="n">
        <v>46174</v>
      </c>
      <c r="B25" s="17" t="n">
        <v>8</v>
      </c>
      <c r="C25" s="17" t="n">
        <v>1</v>
      </c>
      <c r="D25" s="17" t="s">
        <v>133</v>
      </c>
    </row>
    <row r="26" customFormat="false" ht="15" hidden="false" customHeight="false" outlineLevel="0" collapsed="false">
      <c r="A26" s="16" t="n">
        <v>46175</v>
      </c>
      <c r="B26" s="17" t="n">
        <v>1</v>
      </c>
      <c r="C26" s="17" t="n">
        <v>1</v>
      </c>
      <c r="D26" s="17" t="s">
        <v>133</v>
      </c>
    </row>
    <row r="27" customFormat="false" ht="15" hidden="false" customHeight="false" outlineLevel="0" collapsed="false">
      <c r="A27" s="16" t="n">
        <v>46176</v>
      </c>
      <c r="B27" s="17" t="n">
        <v>6</v>
      </c>
      <c r="C27" s="17" t="n">
        <v>5</v>
      </c>
      <c r="D27" s="17" t="s">
        <v>133</v>
      </c>
    </row>
    <row r="28" customFormat="false" ht="15" hidden="false" customHeight="false" outlineLevel="0" collapsed="false">
      <c r="A28" s="16" t="n">
        <v>46177</v>
      </c>
      <c r="B28" s="17" t="n">
        <v>6</v>
      </c>
      <c r="C28" s="17" t="n">
        <v>1</v>
      </c>
      <c r="D28" s="17" t="s">
        <v>133</v>
      </c>
    </row>
    <row r="29" customFormat="false" ht="15" hidden="false" customHeight="false" outlineLevel="0" collapsed="false">
      <c r="A29" s="16" t="n">
        <v>46178</v>
      </c>
      <c r="B29" s="17" t="n">
        <v>2</v>
      </c>
      <c r="C29" s="17" t="n">
        <v>1</v>
      </c>
      <c r="D29" s="17" t="s">
        <v>133</v>
      </c>
    </row>
    <row r="30" customFormat="false" ht="15" hidden="false" customHeight="false" outlineLevel="0" collapsed="false">
      <c r="A30" s="16" t="n">
        <v>46179</v>
      </c>
      <c r="B30" s="17" t="n">
        <v>18</v>
      </c>
      <c r="C30" s="17" t="n">
        <v>5</v>
      </c>
      <c r="D30" s="17" t="s">
        <v>133</v>
      </c>
    </row>
    <row r="31" customFormat="false" ht="15" hidden="false" customHeight="false" outlineLevel="0" collapsed="false">
      <c r="A31" s="16" t="n">
        <v>46180</v>
      </c>
      <c r="B31" s="17" t="n">
        <v>4</v>
      </c>
      <c r="C31" s="17" t="n">
        <v>2</v>
      </c>
      <c r="D31" s="17" t="s">
        <v>133</v>
      </c>
    </row>
    <row r="32" customFormat="false" ht="15" hidden="false" customHeight="false" outlineLevel="0" collapsed="false">
      <c r="A32" s="16" t="n">
        <v>46181</v>
      </c>
      <c r="B32" s="17" t="n">
        <v>0</v>
      </c>
      <c r="C32" s="17" t="n">
        <v>0</v>
      </c>
      <c r="D32" s="17" t="s">
        <v>134</v>
      </c>
    </row>
    <row r="33" customFormat="false" ht="15" hidden="false" customHeight="false" outlineLevel="0" collapsed="false">
      <c r="A33" s="16" t="n">
        <v>46182</v>
      </c>
      <c r="B33" s="17" t="n">
        <v>10</v>
      </c>
      <c r="C33" s="17" t="n">
        <v>3</v>
      </c>
      <c r="D33" s="17" t="s">
        <v>134</v>
      </c>
    </row>
    <row r="34" customFormat="false" ht="15" hidden="false" customHeight="false" outlineLevel="0" collapsed="false">
      <c r="A34" s="16" t="n">
        <v>46183</v>
      </c>
      <c r="B34" s="17" t="n">
        <v>12</v>
      </c>
      <c r="C34" s="17" t="n">
        <v>6</v>
      </c>
      <c r="D34" s="17" t="s">
        <v>134</v>
      </c>
    </row>
    <row r="35" customFormat="false" ht="15" hidden="false" customHeight="false" outlineLevel="0" collapsed="false">
      <c r="A35" s="16" t="n">
        <v>46184</v>
      </c>
      <c r="B35" s="17" t="n">
        <v>15</v>
      </c>
      <c r="C35" s="17" t="n">
        <v>2</v>
      </c>
      <c r="D35" s="17" t="s">
        <v>134</v>
      </c>
    </row>
    <row r="36" customFormat="false" ht="15" hidden="false" customHeight="false" outlineLevel="0" collapsed="false">
      <c r="A36" s="16" t="n">
        <v>46185</v>
      </c>
      <c r="B36" s="17" t="n">
        <v>14</v>
      </c>
      <c r="C36" s="17" t="n">
        <v>3</v>
      </c>
      <c r="D36" s="17" t="s">
        <v>134</v>
      </c>
    </row>
    <row r="37" customFormat="false" ht="15" hidden="false" customHeight="false" outlineLevel="0" collapsed="false">
      <c r="A37" s="16" t="n">
        <v>46186</v>
      </c>
      <c r="B37" s="17" t="n">
        <v>7</v>
      </c>
      <c r="C37" s="17" t="n">
        <v>3</v>
      </c>
      <c r="D37" s="17" t="s">
        <v>134</v>
      </c>
    </row>
    <row r="38" customFormat="false" ht="15" hidden="false" customHeight="false" outlineLevel="0" collapsed="false">
      <c r="A38" s="16" t="n">
        <v>46187</v>
      </c>
      <c r="B38" s="17" t="n">
        <v>14</v>
      </c>
      <c r="C38" s="17" t="n">
        <v>2</v>
      </c>
      <c r="D38" s="17" t="s">
        <v>134</v>
      </c>
    </row>
    <row r="39" customFormat="false" ht="15" hidden="false" customHeight="false" outlineLevel="0" collapsed="false">
      <c r="A39" s="16" t="n">
        <v>46188</v>
      </c>
      <c r="B39" s="17" t="n">
        <v>6</v>
      </c>
      <c r="C39" s="17" t="n">
        <v>2</v>
      </c>
      <c r="D39" s="17" t="s">
        <v>135</v>
      </c>
    </row>
    <row r="40" customFormat="false" ht="15" hidden="false" customHeight="false" outlineLevel="0" collapsed="false">
      <c r="A40" s="16" t="n">
        <v>46189</v>
      </c>
      <c r="B40" s="17" t="n">
        <v>10</v>
      </c>
      <c r="C40" s="17" t="n">
        <v>2</v>
      </c>
      <c r="D40" s="17" t="s">
        <v>135</v>
      </c>
    </row>
    <row r="41" customFormat="false" ht="15" hidden="false" customHeight="false" outlineLevel="0" collapsed="false">
      <c r="A41" s="16" t="n">
        <v>46190</v>
      </c>
      <c r="B41" s="17" t="n">
        <v>20</v>
      </c>
      <c r="C41" s="17" t="n">
        <v>7</v>
      </c>
      <c r="D41" s="17" t="s">
        <v>135</v>
      </c>
    </row>
    <row r="42" customFormat="false" ht="15" hidden="false" customHeight="false" outlineLevel="0" collapsed="false">
      <c r="A42" s="16" t="n">
        <v>46191</v>
      </c>
      <c r="B42" s="17" t="n">
        <v>13</v>
      </c>
      <c r="C42" s="17" t="n">
        <v>4</v>
      </c>
      <c r="D42" s="17" t="s">
        <v>135</v>
      </c>
    </row>
    <row r="43" customFormat="false" ht="15" hidden="false" customHeight="false" outlineLevel="0" collapsed="false">
      <c r="A43" s="16" t="n">
        <v>46192</v>
      </c>
      <c r="B43" s="17" t="n">
        <v>11</v>
      </c>
      <c r="C43" s="17" t="n">
        <v>3</v>
      </c>
      <c r="D43" s="17" t="s">
        <v>135</v>
      </c>
    </row>
    <row r="44" customFormat="false" ht="15" hidden="false" customHeight="false" outlineLevel="0" collapsed="false">
      <c r="A44" s="16" t="n">
        <v>46193</v>
      </c>
      <c r="B44" s="17" t="n">
        <v>7</v>
      </c>
      <c r="C44" s="17" t="n">
        <v>5</v>
      </c>
      <c r="D44" s="17" t="s">
        <v>135</v>
      </c>
    </row>
    <row r="45" customFormat="false" ht="15" hidden="false" customHeight="false" outlineLevel="0" collapsed="false">
      <c r="A45" s="16" t="n">
        <v>46194</v>
      </c>
      <c r="B45" s="17" t="n">
        <v>37</v>
      </c>
      <c r="C45" s="17" t="n">
        <v>5</v>
      </c>
      <c r="D45" s="17" t="s">
        <v>135</v>
      </c>
    </row>
    <row r="46" customFormat="false" ht="15" hidden="false" customHeight="false" outlineLevel="0" collapsed="false">
      <c r="A46" s="16" t="n">
        <v>46195</v>
      </c>
      <c r="B46" s="17" t="n">
        <v>31</v>
      </c>
      <c r="C46" s="17" t="n">
        <v>9</v>
      </c>
      <c r="D46" s="17" t="s">
        <v>136</v>
      </c>
    </row>
    <row r="47" customFormat="false" ht="15" hidden="false" customHeight="false" outlineLevel="0" collapsed="false">
      <c r="A47" s="16" t="n">
        <v>46196</v>
      </c>
      <c r="B47" s="17" t="n">
        <v>18</v>
      </c>
      <c r="C47" s="17" t="n">
        <v>6</v>
      </c>
      <c r="D47" s="17" t="s">
        <v>136</v>
      </c>
    </row>
    <row r="48" customFormat="false" ht="15" hidden="false" customHeight="false" outlineLevel="0" collapsed="false">
      <c r="A48" s="16" t="n">
        <v>46197</v>
      </c>
      <c r="B48" s="17" t="n">
        <v>25</v>
      </c>
      <c r="C48" s="17" t="n">
        <v>7</v>
      </c>
      <c r="D48" s="17" t="s">
        <v>136</v>
      </c>
    </row>
    <row r="49" customFormat="false" ht="15" hidden="false" customHeight="false" outlineLevel="0" collapsed="false">
      <c r="A49" s="16" t="n">
        <v>46198</v>
      </c>
      <c r="B49" s="17" t="n">
        <v>16</v>
      </c>
      <c r="C49" s="17" t="n">
        <v>2</v>
      </c>
      <c r="D49" s="17" t="s">
        <v>136</v>
      </c>
    </row>
    <row r="50" customFormat="false" ht="15" hidden="false" customHeight="false" outlineLevel="0" collapsed="false">
      <c r="A50" s="16" t="n">
        <v>46199</v>
      </c>
      <c r="B50" s="17" t="n">
        <v>18</v>
      </c>
      <c r="C50" s="17" t="n">
        <v>4</v>
      </c>
      <c r="D50" s="17" t="s">
        <v>136</v>
      </c>
    </row>
    <row r="51" customFormat="false" ht="15" hidden="false" customHeight="false" outlineLevel="0" collapsed="false">
      <c r="A51" s="18"/>
    </row>
    <row r="52" customFormat="false" ht="15" hidden="false" customHeight="false" outlineLevel="0" collapsed="false">
      <c r="A52" s="19" t="s">
        <v>137</v>
      </c>
      <c r="B52" s="19" t="n">
        <f aca="false">SUM(B4:B50)</f>
        <v>350</v>
      </c>
      <c r="C52" s="19" t="n">
        <f aca="false">MAX(C4:C50)</f>
        <v>9</v>
      </c>
    </row>
    <row r="53" customFormat="false" ht="15" hidden="false" customHeight="false" outlineLevel="0" collapsed="false">
      <c r="A53" s="19" t="s">
        <v>138</v>
      </c>
      <c r="B53" s="20" t="n">
        <f aca="false">AVERAGE(B37:B50)</f>
        <v>16.6428571428571</v>
      </c>
      <c r="C53" s="21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22" t="s">
        <v>139</v>
      </c>
    </row>
    <row r="3" customFormat="false" ht="15" hidden="false" customHeight="false" outlineLevel="0" collapsed="false">
      <c r="A3" s="15" t="s">
        <v>4</v>
      </c>
      <c r="B3" s="15" t="s">
        <v>140</v>
      </c>
      <c r="C3" s="15" t="s">
        <v>141</v>
      </c>
      <c r="D3" s="15" t="s">
        <v>142</v>
      </c>
      <c r="E3" s="15" t="s">
        <v>143</v>
      </c>
    </row>
    <row r="4" customFormat="false" ht="15" hidden="false" customHeight="false" outlineLevel="0" collapsed="false">
      <c r="A4" s="23" t="s">
        <v>19</v>
      </c>
      <c r="B4" s="17" t="n">
        <v>10</v>
      </c>
      <c r="C4" s="24" t="n">
        <v>10.7</v>
      </c>
      <c r="D4" s="17" t="n">
        <v>30</v>
      </c>
      <c r="E4" s="17" t="n">
        <v>1828</v>
      </c>
    </row>
    <row r="5" customFormat="false" ht="15" hidden="false" customHeight="false" outlineLevel="0" collapsed="false">
      <c r="A5" s="23" t="s">
        <v>39</v>
      </c>
      <c r="B5" s="17" t="n">
        <v>10</v>
      </c>
      <c r="C5" s="24" t="n">
        <v>8.9</v>
      </c>
      <c r="D5" s="17" t="n">
        <v>19</v>
      </c>
      <c r="E5" s="17" t="n">
        <v>1929</v>
      </c>
    </row>
    <row r="6" customFormat="false" ht="15" hidden="false" customHeight="false" outlineLevel="0" collapsed="false">
      <c r="A6" s="23" t="s">
        <v>31</v>
      </c>
      <c r="B6" s="17" t="n">
        <v>6</v>
      </c>
      <c r="C6" s="24" t="n">
        <v>22.7</v>
      </c>
      <c r="D6" s="17" t="n">
        <v>7</v>
      </c>
      <c r="E6" s="17" t="n">
        <v>751</v>
      </c>
    </row>
    <row r="7" customFormat="false" ht="15" hidden="false" customHeight="false" outlineLevel="0" collapsed="false">
      <c r="A7" s="23" t="s">
        <v>29</v>
      </c>
      <c r="B7" s="17" t="n">
        <v>9</v>
      </c>
      <c r="C7" s="24" t="n">
        <v>9.8</v>
      </c>
      <c r="D7" s="17" t="n">
        <v>6</v>
      </c>
      <c r="E7" s="17" t="n">
        <v>900</v>
      </c>
    </row>
    <row r="8" customFormat="false" ht="15" hidden="false" customHeight="false" outlineLevel="0" collapsed="false">
      <c r="A8" s="23" t="s">
        <v>24</v>
      </c>
      <c r="B8" s="17" t="n">
        <v>11</v>
      </c>
      <c r="C8" s="24" t="n">
        <v>8</v>
      </c>
      <c r="D8" s="17" t="n">
        <v>4</v>
      </c>
      <c r="E8" s="17" t="n">
        <v>705</v>
      </c>
    </row>
    <row r="9" customFormat="false" ht="15" hidden="false" customHeight="false" outlineLevel="0" collapsed="false">
      <c r="A9" s="23" t="s">
        <v>55</v>
      </c>
      <c r="B9" s="17" t="n">
        <v>9</v>
      </c>
      <c r="C9" s="24" t="n">
        <v>15</v>
      </c>
      <c r="D9" s="17" t="n">
        <v>3</v>
      </c>
      <c r="E9" s="17" t="n">
        <v>603</v>
      </c>
    </row>
    <row r="10" customFormat="false" ht="15" hidden="false" customHeight="false" outlineLevel="0" collapsed="false">
      <c r="A10" s="23" t="s">
        <v>92</v>
      </c>
      <c r="B10" s="17" t="n">
        <v>1</v>
      </c>
      <c r="C10" s="24" t="n">
        <v>12.7</v>
      </c>
      <c r="D10" s="17" t="n">
        <v>2</v>
      </c>
      <c r="E10" s="17" t="n">
        <v>98</v>
      </c>
    </row>
    <row r="11" customFormat="false" ht="15" hidden="false" customHeight="false" outlineLevel="0" collapsed="false">
      <c r="A11" s="23" t="s">
        <v>86</v>
      </c>
      <c r="B11" s="17" t="n">
        <v>6</v>
      </c>
      <c r="C11" s="24" t="n">
        <v>37.4</v>
      </c>
      <c r="D11" s="17" t="n">
        <v>1</v>
      </c>
      <c r="E11" s="17" t="n">
        <v>3774</v>
      </c>
    </row>
    <row r="12" customFormat="false" ht="15" hidden="false" customHeight="false" outlineLevel="0" collapsed="false">
      <c r="A12" s="23" t="s">
        <v>13</v>
      </c>
      <c r="B12" s="17" t="n">
        <v>6</v>
      </c>
      <c r="C12" s="24" t="n">
        <v>23.6</v>
      </c>
      <c r="D12" s="17" t="n">
        <v>0</v>
      </c>
      <c r="E12" s="17" t="n">
        <v>32</v>
      </c>
    </row>
    <row r="13" customFormat="false" ht="15" hidden="false" customHeight="false" outlineLevel="0" collapsed="false">
      <c r="A13" s="23" t="s">
        <v>117</v>
      </c>
      <c r="B13" s="17" t="n">
        <v>1</v>
      </c>
      <c r="C13" s="24" t="n">
        <v>33.9</v>
      </c>
      <c r="D13" s="17" t="n">
        <v>0</v>
      </c>
      <c r="E13" s="17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4" t="s">
        <v>144</v>
      </c>
      <c r="B1" s="14"/>
    </row>
    <row r="3" customFormat="false" ht="45" hidden="false" customHeight="true" outlineLevel="0" collapsed="false">
      <c r="A3" s="25" t="s">
        <v>145</v>
      </c>
      <c r="B3" s="26" t="s">
        <v>146</v>
      </c>
    </row>
    <row r="4" customFormat="false" ht="45" hidden="false" customHeight="true" outlineLevel="0" collapsed="false">
      <c r="A4" s="25" t="s">
        <v>147</v>
      </c>
      <c r="B4" s="26" t="s">
        <v>148</v>
      </c>
    </row>
    <row r="5" customFormat="false" ht="45" hidden="false" customHeight="true" outlineLevel="0" collapsed="false">
      <c r="A5" s="25" t="s">
        <v>149</v>
      </c>
      <c r="B5" s="26" t="s">
        <v>150</v>
      </c>
    </row>
    <row r="6" customFormat="false" ht="45" hidden="false" customHeight="true" outlineLevel="0" collapsed="false">
      <c r="A6" s="25" t="s">
        <v>151</v>
      </c>
      <c r="B6" s="26" t="s">
        <v>152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2026-06-28T18:30:12Z</dcterms:created>
  <dc:creator>openpyxl</dc:creator>
  <dc:description/>
  <dc:language>en-US</dc:language>
  <cp:lastModifiedBy/>
  <dcterms:modified xsi:type="dcterms:W3CDTF">2026-06-28T20:30:18Z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